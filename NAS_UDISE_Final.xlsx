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77C07CE6-E606-4DBC-93F5-616DF11F0C2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ster" sheetId="1" r:id="rId1"/>
    <sheet name="Dashboard Sheet" sheetId="4" r:id="rId2"/>
    <sheet name="Raw NAS" sheetId="2" r:id="rId3"/>
    <sheet name="Raw UDIS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" l="1"/>
  <c r="O40" i="1"/>
  <c r="Q40" i="1" s="1"/>
  <c r="P39" i="1"/>
  <c r="O39" i="1"/>
  <c r="Q39" i="1" s="1"/>
  <c r="P38" i="1"/>
  <c r="O38" i="1"/>
  <c r="Q38" i="1" s="1"/>
  <c r="P37" i="1"/>
  <c r="O37" i="1"/>
  <c r="Q37" i="1" s="1"/>
  <c r="P36" i="1"/>
  <c r="Q36" i="1" s="1"/>
  <c r="O36" i="1"/>
  <c r="P35" i="1"/>
  <c r="O35" i="1"/>
  <c r="Q35" i="1" s="1"/>
  <c r="Q34" i="1"/>
  <c r="P34" i="1"/>
  <c r="O34" i="1"/>
  <c r="P33" i="1"/>
  <c r="Q33" i="1" s="1"/>
  <c r="O33" i="1"/>
  <c r="Q32" i="1"/>
  <c r="P32" i="1"/>
  <c r="O32" i="1"/>
  <c r="P31" i="1"/>
  <c r="Q31" i="1" s="1"/>
  <c r="O31" i="1"/>
  <c r="Q30" i="1"/>
  <c r="P30" i="1"/>
  <c r="O30" i="1"/>
  <c r="P29" i="1"/>
  <c r="Q29" i="1" s="1"/>
  <c r="O29" i="1"/>
  <c r="Q28" i="1"/>
  <c r="P28" i="1"/>
  <c r="O28" i="1"/>
  <c r="Q27" i="1"/>
  <c r="P27" i="1"/>
  <c r="O27" i="1"/>
  <c r="Q26" i="1"/>
  <c r="P26" i="1"/>
  <c r="O26" i="1"/>
  <c r="Q25" i="1"/>
  <c r="P25" i="1"/>
  <c r="O25" i="1"/>
  <c r="Q24" i="1"/>
  <c r="P24" i="1"/>
  <c r="O24" i="1"/>
  <c r="Q23" i="1"/>
  <c r="P23" i="1"/>
  <c r="O23" i="1"/>
  <c r="Q22" i="1"/>
  <c r="P22" i="1"/>
  <c r="O22" i="1"/>
  <c r="Q21" i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Q14" i="1"/>
  <c r="P14" i="1"/>
  <c r="O14" i="1"/>
  <c r="Q13" i="1"/>
  <c r="P13" i="1"/>
  <c r="O13" i="1"/>
  <c r="Q12" i="1"/>
  <c r="P12" i="1"/>
  <c r="O12" i="1"/>
  <c r="Q11" i="1"/>
  <c r="P11" i="1"/>
  <c r="O11" i="1"/>
  <c r="Q10" i="1"/>
  <c r="P10" i="1"/>
  <c r="O10" i="1"/>
  <c r="Q9" i="1"/>
  <c r="P9" i="1"/>
  <c r="O9" i="1"/>
  <c r="Q8" i="1"/>
  <c r="P8" i="1"/>
  <c r="O8" i="1"/>
  <c r="Q7" i="1"/>
  <c r="P7" i="1"/>
  <c r="O7" i="1"/>
  <c r="Q6" i="1"/>
  <c r="P6" i="1"/>
  <c r="O6" i="1"/>
  <c r="Q5" i="1"/>
  <c r="P5" i="1"/>
  <c r="O5" i="1"/>
  <c r="Q4" i="1"/>
  <c r="P4" i="1"/>
  <c r="O4" i="1"/>
</calcChain>
</file>

<file path=xl/sharedStrings.xml><?xml version="1.0" encoding="utf-8"?>
<sst xmlns="http://schemas.openxmlformats.org/spreadsheetml/2006/main" count="2299" uniqueCount="94">
  <si>
    <t>NAS 2021 × UDISE+ 2021-22 — State Master Dashboard</t>
  </si>
  <si>
    <t>State/UT</t>
  </si>
  <si>
    <t>NAS Achievement Scores (Mean)</t>
  </si>
  <si>
    <t>NAS Avg</t>
  </si>
  <si>
    <t>UDISE+ Infrastructure (% Schools)</t>
  </si>
  <si>
    <t>Infra Avg</t>
  </si>
  <si>
    <t>Composite Score</t>
  </si>
  <si>
    <t>Rank</t>
  </si>
  <si>
    <t>Categories</t>
  </si>
  <si>
    <t>Class 3</t>
  </si>
  <si>
    <t>Class 5</t>
  </si>
  <si>
    <t>Class 8</t>
  </si>
  <si>
    <t>Class 10</t>
  </si>
  <si>
    <t>Girls' Toilet %</t>
  </si>
  <si>
    <t>Electricity %</t>
  </si>
  <si>
    <t>Computers %</t>
  </si>
  <si>
    <t>Drinking Water %</t>
  </si>
  <si>
    <t>Playground %</t>
  </si>
  <si>
    <t>NAS Category</t>
  </si>
  <si>
    <t>Infra Category</t>
  </si>
  <si>
    <t>Overall Category</t>
  </si>
  <si>
    <t>Intervention Remark</t>
  </si>
  <si>
    <t>Andaman &amp; Nicobar Islands</t>
  </si>
  <si>
    <t>Targeted Pedagogy Improvement — Infrastructure adequate; focus on teacher quality and classroom practices to push outcomes higher</t>
  </si>
  <si>
    <t>Andhra Pradesh</t>
  </si>
  <si>
    <t>Teacher Capability Intervention — Infrastructure in place but learning outcomes lagging; immediate focus on teacher professional development and pedagogy</t>
  </si>
  <si>
    <t>Arunachal Pradesh</t>
  </si>
  <si>
    <t>High Priority: Dual Intervention — Both learning outcomes and infrastructure below par; urgent investment in teacher training and physical school resources needed</t>
  </si>
  <si>
    <t>Assam</t>
  </si>
  <si>
    <t>Dual Improvement Needed — Moderate learning sustained despite weak infrastructure; parallel investment in teacher training and school resources required</t>
  </si>
  <si>
    <t>Bihar</t>
  </si>
  <si>
    <t>Chandigarh</t>
  </si>
  <si>
    <t>Sustain &amp; Scale — Document best practices for national replication</t>
  </si>
  <si>
    <t>Chhattisgarh</t>
  </si>
  <si>
    <t>Highest Priority: System-Level Overhaul — Critical failure in both learning and infrastructure; requires central government intervention, infrastructure development, and intensive teacher capacity building</t>
  </si>
  <si>
    <t>Dadra &amp; Nagar Haveli</t>
  </si>
  <si>
    <t>Emergency Pedagogical Intervention — Infrastructure adequate but learning critically low; intensive teacher training and remedial learning programs required immediately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</si>
  <si>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</si>
  <si>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</si>
  <si>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</si>
  <si>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</si>
  <si>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</si>
  <si>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</si>
  <si>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</si>
  <si>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</si>
  <si>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</si>
  <si>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</si>
  <si>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</si>
  <si>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</si>
  <si>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</si>
  <si>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</si>
  <si>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</si>
  <si>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</si>
  <si>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</si>
  <si>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</si>
  <si>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</si>
  <si>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</si>
  <si>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</si>
  <si>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</si>
  <si>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Infrastructure Investment Priority — Strong learning resilience exists despite resource gaps; invest in physical infrastructure to sustain gains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</si>
  <si>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</si>
  <si>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</si>
  <si>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</si>
  <si>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</si>
  <si>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</si>
  <si>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</si>
  <si>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</si>
  <si>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Class</t>
  </si>
  <si>
    <t>Subject</t>
  </si>
  <si>
    <t>Score (Mean)</t>
  </si>
  <si>
    <t>Language</t>
  </si>
  <si>
    <t>Mathematics</t>
  </si>
  <si>
    <t>Environmental Studies</t>
  </si>
  <si>
    <t>Science</t>
  </si>
  <si>
    <t>Social Science</t>
  </si>
  <si>
    <t>Modern Indian Language</t>
  </si>
  <si>
    <t>English</t>
  </si>
  <si>
    <t>Indicator</t>
  </si>
  <si>
    <t>Total Schools</t>
  </si>
  <si>
    <t>Count</t>
  </si>
  <si>
    <t>Value (%)</t>
  </si>
  <si>
    <t>Girls' Toilet</t>
  </si>
  <si>
    <t>Electricity</t>
  </si>
  <si>
    <t>Computers (Pedagogical)</t>
  </si>
  <si>
    <t>Drinking Water</t>
  </si>
  <si>
    <t>Playground</t>
  </si>
  <si>
    <t>Moderate Learning Outcome</t>
  </si>
  <si>
    <t>Weak Learning Outcome</t>
  </si>
  <si>
    <t>Strong Learning Outcome</t>
  </si>
  <si>
    <t>Critical Learning Outcome</t>
  </si>
  <si>
    <t>Moderate Infrastructure</t>
  </si>
  <si>
    <t>Critical Infrastructure</t>
  </si>
  <si>
    <t>Weak Infrastructure</t>
  </si>
  <si>
    <t>High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</si>
</sst>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0"/>
      <color rgb="FFFFFFFF"/>
      <name val="Arial"/>
    </font>
  </fonts>
  <fills count="2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B942"/>
      </patternFill>
    </fill>
    <fill>
      <patternFill patternType="solid">
        <fgColor rgb="FF2E75B6"/>
      </patternFill>
    </fill>
    <fill>
      <patternFill patternType="solid">
        <fgColor rgb="FF00B0F0"/>
      </patternFill>
    </fill>
    <fill>
      <patternFill patternType="solid">
        <fgColor rgb="FFE2EFDA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9E3B99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EB9C"/>
      </patternFill>
    </fill>
    <fill>
      <patternFill patternType="solid">
        <fgColor rgb="FFFF4444"/>
      </patternFill>
    </fill>
    <fill>
      <patternFill patternType="solid">
        <fgColor rgb="FFFF7C7C"/>
      </patternFill>
    </fill>
    <fill>
      <patternFill patternType="solid">
        <fgColor rgb="FFDDEBF7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2" fillId="14" borderId="0" xfId="0" applyFont="1" applyFill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3" fillId="2" borderId="3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left" vertical="center" wrapText="1"/>
    </xf>
    <xf numFmtId="0" fontId="4" fillId="17" borderId="6" xfId="0" applyFont="1" applyFill="1" applyBorder="1" applyAlignment="1">
      <alignment horizontal="left" vertical="center" wrapText="1"/>
    </xf>
    <xf numFmtId="0" fontId="4" fillId="18" borderId="6" xfId="0" applyFont="1" applyFill="1" applyBorder="1" applyAlignment="1">
      <alignment horizontal="left" vertical="center" wrapText="1"/>
    </xf>
    <xf numFmtId="0" fontId="4" fillId="19" borderId="6" xfId="0" applyFont="1" applyFill="1" applyBorder="1" applyAlignment="1">
      <alignment horizontal="left" vertical="center" wrapText="1"/>
    </xf>
    <xf numFmtId="0" fontId="4" fillId="20" borderId="6" xfId="0" applyFont="1" applyFill="1" applyBorder="1" applyAlignment="1">
      <alignment horizontal="left" vertical="center" wrapText="1"/>
    </xf>
    <xf numFmtId="0" fontId="4" fillId="21" borderId="6" xfId="0" applyFont="1" applyFill="1" applyBorder="1" applyAlignment="1">
      <alignment horizontal="left" vertical="center" wrapText="1"/>
    </xf>
    <xf numFmtId="0" fontId="4" fillId="22" borderId="6" xfId="0" applyFont="1" applyFill="1" applyBorder="1" applyAlignment="1">
      <alignment horizontal="left" vertical="center" wrapText="1"/>
    </xf>
    <xf numFmtId="0" fontId="4" fillId="23" borderId="6" xfId="0" applyFont="1" applyFill="1" applyBorder="1" applyAlignment="1">
      <alignment horizontal="left" vertical="center" wrapText="1"/>
    </xf>
    <xf numFmtId="0" fontId="0" fillId="15" borderId="0" xfId="0" applyFill="1" applyAlignment="1">
      <alignment horizontal="center"/>
    </xf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6" fillId="24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pane xSplit="1" ySplit="3" topLeftCell="M34" activePane="bottomRight" state="frozen"/>
      <selection pane="topRight"/>
      <selection pane="bottomLeft"/>
      <selection pane="bottomRight" activeCell="R4" sqref="R4:R40"/>
    </sheetView>
  </sheetViews>
  <sheetFormatPr defaultRowHeight="14.4" x14ac:dyDescent="0.3"/>
  <cols>
    <col min="1" max="1" width="28" customWidth="1"/>
    <col min="2" max="5" width="8" customWidth="1"/>
    <col min="6" max="6" width="9" customWidth="1"/>
    <col min="7" max="7" width="13" customWidth="1"/>
    <col min="8" max="8" width="12" customWidth="1"/>
    <col min="9" max="9" width="11" customWidth="1"/>
    <col min="10" max="10" width="14" customWidth="1"/>
    <col min="11" max="11" width="11" customWidth="1"/>
    <col min="12" max="12" width="10" customWidth="1"/>
    <col min="13" max="13" width="16.109375" bestFit="1" customWidth="1"/>
    <col min="14" max="14" width="6" customWidth="1"/>
    <col min="15" max="15" width="24.77734375" bestFit="1" customWidth="1"/>
    <col min="16" max="16" width="21" bestFit="1" customWidth="1"/>
    <col min="17" max="17" width="46.109375" bestFit="1" customWidth="1"/>
    <col min="18" max="18" width="58" customWidth="1"/>
  </cols>
  <sheetData>
    <row r="1" spans="1:18" ht="22.05" customHeight="1" x14ac:dyDescent="0.3">
      <c r="A1" s="45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0"/>
      <c r="P1" s="41"/>
      <c r="Q1" s="41"/>
      <c r="R1" s="48"/>
    </row>
    <row r="2" spans="1:18" ht="18" customHeight="1" x14ac:dyDescent="0.3">
      <c r="A2" s="1" t="s">
        <v>1</v>
      </c>
      <c r="B2" s="43" t="s">
        <v>2</v>
      </c>
      <c r="C2" s="41"/>
      <c r="D2" s="41"/>
      <c r="E2" s="41"/>
      <c r="F2" s="2" t="s">
        <v>3</v>
      </c>
      <c r="G2" s="42" t="s">
        <v>4</v>
      </c>
      <c r="H2" s="41"/>
      <c r="I2" s="41"/>
      <c r="J2" s="41"/>
      <c r="K2" s="41"/>
      <c r="L2" s="2" t="s">
        <v>5</v>
      </c>
      <c r="M2" s="46"/>
      <c r="N2" s="1"/>
      <c r="O2" s="44" t="s">
        <v>8</v>
      </c>
      <c r="P2" s="41"/>
      <c r="Q2" s="41"/>
      <c r="R2" s="49"/>
    </row>
    <row r="3" spans="1:18" ht="40.049999999999997" customHeight="1" x14ac:dyDescent="0.3">
      <c r="A3" s="3" t="s">
        <v>1</v>
      </c>
      <c r="B3" s="4" t="s">
        <v>9</v>
      </c>
      <c r="C3" s="5" t="s">
        <v>10</v>
      </c>
      <c r="D3" s="6" t="s">
        <v>11</v>
      </c>
      <c r="E3" s="7" t="s">
        <v>12</v>
      </c>
      <c r="F3" s="8" t="s">
        <v>3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8" t="s">
        <v>5</v>
      </c>
      <c r="M3" s="25" t="s">
        <v>6</v>
      </c>
      <c r="N3" s="3" t="s">
        <v>7</v>
      </c>
      <c r="O3" s="29" t="s">
        <v>18</v>
      </c>
      <c r="P3" s="29" t="s">
        <v>19</v>
      </c>
      <c r="Q3" s="31" t="s">
        <v>20</v>
      </c>
      <c r="R3" s="47" t="s">
        <v>21</v>
      </c>
    </row>
    <row r="4" spans="1:18" ht="49.95" customHeight="1" x14ac:dyDescent="0.3">
      <c r="A4" s="10" t="s">
        <v>22</v>
      </c>
      <c r="B4" s="11">
        <v>305</v>
      </c>
      <c r="C4" s="11">
        <v>290.7</v>
      </c>
      <c r="D4" s="11">
        <v>263.5</v>
      </c>
      <c r="E4" s="11">
        <v>252.6</v>
      </c>
      <c r="F4" s="12">
        <v>277.89999999999998</v>
      </c>
      <c r="G4" s="11">
        <v>99.8</v>
      </c>
      <c r="H4" s="11">
        <v>92.8</v>
      </c>
      <c r="I4" s="11">
        <v>40.4</v>
      </c>
      <c r="J4" s="11">
        <v>100</v>
      </c>
      <c r="K4" s="11">
        <v>96.2</v>
      </c>
      <c r="L4" s="13">
        <v>85.8</v>
      </c>
      <c r="M4" s="14">
        <v>67.67</v>
      </c>
      <c r="N4" s="26">
        <v>6</v>
      </c>
      <c r="O4" s="30" t="str">
        <f t="shared" ref="O4:O40" si="0">IF(F4&gt;=288,"Strong Learning Outcome",IF(F4&gt;=276,"Moderate Learning Outcome", IF(F4&gt;=264, "Weak Learning Outcome", "Critical Learning Outcome")))</f>
        <v>Moderate Learning Outcome</v>
      </c>
      <c r="P4" s="28" t="str">
        <f t="shared" ref="P4:P40" si="1">IF(L4&gt;=88,"High Infrastructure",IF(L4&gt;=77, "Moderate Infrastructure",IF(L4&gt;=66, "Weak Infrastructure","Critical Infrastructure")))</f>
        <v>Moderate Infrastructure</v>
      </c>
      <c r="Q4" t="str">
        <f t="shared" ref="Q4:Q40" si="2">O4 &amp; ", " &amp;P4</f>
        <v>Moderate Learning Outcome, Moderate Infrastructure</v>
      </c>
      <c r="R4" s="33" t="s">
        <v>23</v>
      </c>
    </row>
    <row r="5" spans="1:18" ht="49.95" customHeight="1" x14ac:dyDescent="0.3">
      <c r="A5" s="15" t="s">
        <v>24</v>
      </c>
      <c r="B5" s="16">
        <v>302.3</v>
      </c>
      <c r="C5" s="16">
        <v>279.7</v>
      </c>
      <c r="D5" s="16">
        <v>254.5</v>
      </c>
      <c r="E5" s="16">
        <v>238.6</v>
      </c>
      <c r="F5" s="12">
        <v>268.8</v>
      </c>
      <c r="G5" s="16">
        <v>96.6</v>
      </c>
      <c r="H5" s="16">
        <v>98.8</v>
      </c>
      <c r="I5" s="16">
        <v>11.7</v>
      </c>
      <c r="J5" s="16">
        <v>99.9</v>
      </c>
      <c r="K5" s="16">
        <v>79.400000000000006</v>
      </c>
      <c r="L5" s="13">
        <v>77.3</v>
      </c>
      <c r="M5" s="14">
        <v>63.18</v>
      </c>
      <c r="N5" s="27">
        <v>20</v>
      </c>
      <c r="O5" s="30" t="str">
        <f t="shared" si="0"/>
        <v>Weak Learning Outcome</v>
      </c>
      <c r="P5" s="28" t="str">
        <f t="shared" si="1"/>
        <v>Moderate Infrastructure</v>
      </c>
      <c r="Q5" t="str">
        <f t="shared" si="2"/>
        <v>Weak Learning Outcome, Moderate Infrastructure</v>
      </c>
      <c r="R5" s="34" t="s">
        <v>25</v>
      </c>
    </row>
    <row r="6" spans="1:18" ht="49.95" customHeight="1" x14ac:dyDescent="0.3">
      <c r="A6" s="10" t="s">
        <v>26</v>
      </c>
      <c r="B6" s="11">
        <v>287.3</v>
      </c>
      <c r="C6" s="11">
        <v>279.7</v>
      </c>
      <c r="D6" s="11">
        <v>262</v>
      </c>
      <c r="E6" s="11">
        <v>245.6</v>
      </c>
      <c r="F6" s="12">
        <v>268.60000000000002</v>
      </c>
      <c r="G6" s="11">
        <v>91.2</v>
      </c>
      <c r="H6" s="11">
        <v>66.7</v>
      </c>
      <c r="I6" s="11">
        <v>7.6</v>
      </c>
      <c r="J6" s="11">
        <v>81.900000000000006</v>
      </c>
      <c r="K6" s="11">
        <v>68.2</v>
      </c>
      <c r="L6" s="13">
        <v>63.1</v>
      </c>
      <c r="M6" s="14">
        <v>57.47</v>
      </c>
      <c r="N6" s="26">
        <v>36</v>
      </c>
      <c r="O6" s="30" t="str">
        <f t="shared" si="0"/>
        <v>Weak Learning Outcome</v>
      </c>
      <c r="P6" s="28" t="str">
        <f t="shared" si="1"/>
        <v>Critical Infrastructure</v>
      </c>
      <c r="Q6" t="str">
        <f t="shared" si="2"/>
        <v>Weak Learning Outcome, Critical Infrastructure</v>
      </c>
      <c r="R6" s="35" t="s">
        <v>27</v>
      </c>
    </row>
    <row r="7" spans="1:18" ht="49.95" customHeight="1" x14ac:dyDescent="0.3">
      <c r="A7" s="15" t="s">
        <v>28</v>
      </c>
      <c r="B7" s="16">
        <v>317.7</v>
      </c>
      <c r="C7" s="16">
        <v>298</v>
      </c>
      <c r="D7" s="16">
        <v>261</v>
      </c>
      <c r="E7" s="16">
        <v>233.8</v>
      </c>
      <c r="F7" s="12">
        <v>277.60000000000002</v>
      </c>
      <c r="G7" s="16">
        <v>88.3</v>
      </c>
      <c r="H7" s="16">
        <v>77.099999999999994</v>
      </c>
      <c r="I7" s="16">
        <v>4.7</v>
      </c>
      <c r="J7" s="16">
        <v>93.9</v>
      </c>
      <c r="K7" s="16">
        <v>78.400000000000006</v>
      </c>
      <c r="L7" s="13">
        <v>68.5</v>
      </c>
      <c r="M7" s="14">
        <v>60.71</v>
      </c>
      <c r="N7" s="27">
        <v>30</v>
      </c>
      <c r="O7" s="30" t="str">
        <f t="shared" si="0"/>
        <v>Moderate Learning Outcome</v>
      </c>
      <c r="P7" s="28" t="str">
        <f t="shared" si="1"/>
        <v>Weak Infrastructure</v>
      </c>
      <c r="Q7" t="str">
        <f t="shared" si="2"/>
        <v>Moderate Learning Outcome, Weak Infrastructure</v>
      </c>
      <c r="R7" s="36" t="s">
        <v>29</v>
      </c>
    </row>
    <row r="8" spans="1:18" ht="49.95" customHeight="1" x14ac:dyDescent="0.3">
      <c r="A8" s="10" t="s">
        <v>30</v>
      </c>
      <c r="B8" s="11">
        <v>307.3</v>
      </c>
      <c r="C8" s="11">
        <v>289.3</v>
      </c>
      <c r="D8" s="11">
        <v>264.5</v>
      </c>
      <c r="E8" s="11">
        <v>232.4</v>
      </c>
      <c r="F8" s="12">
        <v>273.39999999999998</v>
      </c>
      <c r="G8" s="11">
        <v>98.3</v>
      </c>
      <c r="H8" s="11">
        <v>88.8</v>
      </c>
      <c r="I8" s="11">
        <v>2.1</v>
      </c>
      <c r="J8" s="11">
        <v>99.7</v>
      </c>
      <c r="K8" s="11">
        <v>49.8</v>
      </c>
      <c r="L8" s="13">
        <v>67.7</v>
      </c>
      <c r="M8" s="14">
        <v>59.89</v>
      </c>
      <c r="N8" s="26">
        <v>32</v>
      </c>
      <c r="O8" s="30" t="str">
        <f t="shared" si="0"/>
        <v>Weak Learning Outcome</v>
      </c>
      <c r="P8" s="28" t="str">
        <f t="shared" si="1"/>
        <v>Weak Infrastructure</v>
      </c>
      <c r="Q8" t="str">
        <f t="shared" si="2"/>
        <v>Weak Learning Outcome, Weak Infrastructure</v>
      </c>
      <c r="R8" s="35" t="s">
        <v>27</v>
      </c>
    </row>
    <row r="9" spans="1:18" ht="49.95" customHeight="1" x14ac:dyDescent="0.3">
      <c r="A9" s="15" t="s">
        <v>31</v>
      </c>
      <c r="B9" s="16">
        <v>319.7</v>
      </c>
      <c r="C9" s="16">
        <v>304.7</v>
      </c>
      <c r="D9" s="16">
        <v>297.8</v>
      </c>
      <c r="E9" s="16">
        <v>288.60000000000002</v>
      </c>
      <c r="F9" s="12">
        <v>302.7</v>
      </c>
      <c r="G9" s="16">
        <v>99.6</v>
      </c>
      <c r="H9" s="16">
        <v>100</v>
      </c>
      <c r="I9" s="16">
        <v>82.4</v>
      </c>
      <c r="J9" s="16">
        <v>100</v>
      </c>
      <c r="K9" s="16">
        <v>95.3</v>
      </c>
      <c r="L9" s="13">
        <v>95.5</v>
      </c>
      <c r="M9" s="14">
        <v>74.52</v>
      </c>
      <c r="N9" s="27">
        <v>1</v>
      </c>
      <c r="O9" s="30" t="str">
        <f t="shared" si="0"/>
        <v>Strong Learning Outcome</v>
      </c>
      <c r="P9" s="28" t="str">
        <f t="shared" si="1"/>
        <v>High Infrastructure</v>
      </c>
      <c r="Q9" t="str">
        <f t="shared" si="2"/>
        <v>Strong Learning Outcome, High Infrastructure</v>
      </c>
      <c r="R9" s="32" t="s">
        <v>32</v>
      </c>
    </row>
    <row r="10" spans="1:18" ht="49.95" customHeight="1" x14ac:dyDescent="0.3">
      <c r="A10" s="10" t="s">
        <v>33</v>
      </c>
      <c r="B10" s="11">
        <v>291</v>
      </c>
      <c r="C10" s="11">
        <v>276.7</v>
      </c>
      <c r="D10" s="11">
        <v>246.2</v>
      </c>
      <c r="E10" s="11">
        <v>224.4</v>
      </c>
      <c r="F10" s="12">
        <v>259.60000000000002</v>
      </c>
      <c r="G10" s="11">
        <v>97.8</v>
      </c>
      <c r="H10" s="11">
        <v>95.8</v>
      </c>
      <c r="I10" s="11">
        <v>5.9</v>
      </c>
      <c r="J10" s="11">
        <v>100</v>
      </c>
      <c r="K10" s="11">
        <v>79.2</v>
      </c>
      <c r="L10" s="13">
        <v>75.7</v>
      </c>
      <c r="M10" s="14">
        <v>61.43</v>
      </c>
      <c r="N10" s="26">
        <v>26</v>
      </c>
      <c r="O10" s="30" t="str">
        <f t="shared" si="0"/>
        <v>Critical Learning Outcome</v>
      </c>
      <c r="P10" s="28" t="str">
        <f t="shared" si="1"/>
        <v>Weak Infrastructure</v>
      </c>
      <c r="Q10" t="str">
        <f t="shared" si="2"/>
        <v>Critical Learning Outcome, Weak Infrastructure</v>
      </c>
      <c r="R10" s="37" t="s">
        <v>34</v>
      </c>
    </row>
    <row r="11" spans="1:18" ht="49.95" customHeight="1" x14ac:dyDescent="0.3">
      <c r="A11" s="15" t="s">
        <v>35</v>
      </c>
      <c r="B11" s="16">
        <v>279.7</v>
      </c>
      <c r="C11" s="16">
        <v>269.7</v>
      </c>
      <c r="D11" s="16">
        <v>263.2</v>
      </c>
      <c r="E11" s="16">
        <v>222.6</v>
      </c>
      <c r="F11" s="12">
        <v>258.8</v>
      </c>
      <c r="G11" s="16">
        <v>98.9</v>
      </c>
      <c r="H11" s="16">
        <v>100</v>
      </c>
      <c r="I11" s="16">
        <v>38.299999999999997</v>
      </c>
      <c r="J11" s="16">
        <v>100</v>
      </c>
      <c r="K11" s="16">
        <v>99.8</v>
      </c>
      <c r="L11" s="13">
        <v>87.4</v>
      </c>
      <c r="M11" s="14">
        <v>66.02</v>
      </c>
      <c r="N11" s="27">
        <v>12</v>
      </c>
      <c r="O11" s="30" t="str">
        <f t="shared" si="0"/>
        <v>Critical Learning Outcome</v>
      </c>
      <c r="P11" s="28" t="str">
        <f t="shared" si="1"/>
        <v>Moderate Infrastructure</v>
      </c>
      <c r="Q11" t="str">
        <f t="shared" si="2"/>
        <v>Critical Learning Outcome, Moderate Infrastructure</v>
      </c>
      <c r="R11" s="38" t="s">
        <v>36</v>
      </c>
    </row>
    <row r="12" spans="1:18" ht="49.95" customHeight="1" x14ac:dyDescent="0.3">
      <c r="A12" s="10" t="s">
        <v>37</v>
      </c>
      <c r="B12" s="11">
        <v>298</v>
      </c>
      <c r="C12" s="11">
        <v>279.3</v>
      </c>
      <c r="D12" s="11">
        <v>260.8</v>
      </c>
      <c r="E12" s="11">
        <v>238</v>
      </c>
      <c r="F12" s="12">
        <v>269</v>
      </c>
      <c r="G12" s="11">
        <v>98.9</v>
      </c>
      <c r="H12" s="11">
        <v>100</v>
      </c>
      <c r="I12" s="11">
        <v>38.299999999999997</v>
      </c>
      <c r="J12" s="11">
        <v>100</v>
      </c>
      <c r="K12" s="11">
        <v>99.8</v>
      </c>
      <c r="L12" s="13">
        <v>87.4</v>
      </c>
      <c r="M12" s="14">
        <v>67.239999999999995</v>
      </c>
      <c r="N12" s="26">
        <v>9</v>
      </c>
      <c r="O12" s="30" t="str">
        <f t="shared" si="0"/>
        <v>Weak Learning Outcome</v>
      </c>
      <c r="P12" s="28" t="str">
        <f t="shared" si="1"/>
        <v>Moderate Infrastructure</v>
      </c>
      <c r="Q12" t="str">
        <f t="shared" si="2"/>
        <v>Weak Learning Outcome, Moderate Infrastructure</v>
      </c>
      <c r="R12" s="34" t="s">
        <v>25</v>
      </c>
    </row>
    <row r="13" spans="1:18" ht="49.95" customHeight="1" x14ac:dyDescent="0.3">
      <c r="A13" s="15" t="s">
        <v>38</v>
      </c>
      <c r="B13" s="16">
        <v>290.7</v>
      </c>
      <c r="C13" s="16">
        <v>283.7</v>
      </c>
      <c r="D13" s="16">
        <v>270</v>
      </c>
      <c r="E13" s="16">
        <v>265.2</v>
      </c>
      <c r="F13" s="12">
        <v>277.39999999999998</v>
      </c>
      <c r="G13" s="16">
        <v>83.5</v>
      </c>
      <c r="H13" s="16">
        <v>100</v>
      </c>
      <c r="I13" s="16">
        <v>46.1</v>
      </c>
      <c r="J13" s="16">
        <v>100</v>
      </c>
      <c r="K13" s="16">
        <v>96.5</v>
      </c>
      <c r="L13" s="13">
        <v>85.2</v>
      </c>
      <c r="M13" s="14">
        <v>67.37</v>
      </c>
      <c r="N13" s="16">
        <v>8</v>
      </c>
      <c r="O13" t="str">
        <f t="shared" si="0"/>
        <v>Moderate Learning Outcome</v>
      </c>
      <c r="P13" s="28" t="str">
        <f t="shared" si="1"/>
        <v>Moderate Infrastructure</v>
      </c>
      <c r="Q13" t="str">
        <f t="shared" si="2"/>
        <v>Moderate Learning Outcome, Moderate Infrastructure</v>
      </c>
      <c r="R13" s="33" t="s">
        <v>23</v>
      </c>
    </row>
    <row r="14" spans="1:18" ht="49.95" customHeight="1" x14ac:dyDescent="0.3">
      <c r="A14" s="10" t="s">
        <v>39</v>
      </c>
      <c r="B14" s="11">
        <v>312</v>
      </c>
      <c r="C14" s="11">
        <v>288</v>
      </c>
      <c r="D14" s="11">
        <v>268.5</v>
      </c>
      <c r="E14" s="11">
        <v>253.2</v>
      </c>
      <c r="F14" s="12">
        <v>280.39999999999998</v>
      </c>
      <c r="G14" s="11">
        <v>99.2</v>
      </c>
      <c r="H14" s="11">
        <v>100</v>
      </c>
      <c r="I14" s="11">
        <v>29.9</v>
      </c>
      <c r="J14" s="11">
        <v>100</v>
      </c>
      <c r="K14" s="11">
        <v>89.4</v>
      </c>
      <c r="L14" s="13">
        <v>83.7</v>
      </c>
      <c r="M14" s="14">
        <v>67.13</v>
      </c>
      <c r="N14" s="26">
        <v>10</v>
      </c>
      <c r="O14" s="30" t="str">
        <f t="shared" si="0"/>
        <v>Moderate Learning Outcome</v>
      </c>
      <c r="P14" s="28" t="str">
        <f t="shared" si="1"/>
        <v>Moderate Infrastructure</v>
      </c>
      <c r="Q14" t="str">
        <f t="shared" si="2"/>
        <v>Moderate Learning Outcome, Moderate Infrastructure</v>
      </c>
      <c r="R14" s="33" t="s">
        <v>23</v>
      </c>
    </row>
    <row r="15" spans="1:18" ht="49.95" customHeight="1" x14ac:dyDescent="0.3">
      <c r="A15" s="15" t="s">
        <v>40</v>
      </c>
      <c r="B15" s="16">
        <v>317.7</v>
      </c>
      <c r="C15" s="16">
        <v>293.7</v>
      </c>
      <c r="D15" s="16">
        <v>267.8</v>
      </c>
      <c r="E15" s="16">
        <v>235.6</v>
      </c>
      <c r="F15" s="12">
        <v>278.7</v>
      </c>
      <c r="G15" s="16">
        <v>97.2</v>
      </c>
      <c r="H15" s="16">
        <v>100</v>
      </c>
      <c r="I15" s="16">
        <v>20.8</v>
      </c>
      <c r="J15" s="16">
        <v>100</v>
      </c>
      <c r="K15" s="16">
        <v>88.2</v>
      </c>
      <c r="L15" s="13">
        <v>81.2</v>
      </c>
      <c r="M15" s="14">
        <v>65.92</v>
      </c>
      <c r="N15" s="27">
        <v>13</v>
      </c>
      <c r="O15" s="30" t="str">
        <f t="shared" si="0"/>
        <v>Moderate Learning Outcome</v>
      </c>
      <c r="P15" s="28" t="str">
        <f t="shared" si="1"/>
        <v>Moderate Infrastructure</v>
      </c>
      <c r="Q15" t="str">
        <f t="shared" si="2"/>
        <v>Moderate Learning Outcome, Moderate Infrastructure</v>
      </c>
      <c r="R15" s="33" t="s">
        <v>23</v>
      </c>
    </row>
    <row r="16" spans="1:18" ht="49.95" customHeight="1" x14ac:dyDescent="0.3">
      <c r="A16" s="10" t="s">
        <v>41</v>
      </c>
      <c r="B16" s="11">
        <v>304.7</v>
      </c>
      <c r="C16" s="11">
        <v>293.7</v>
      </c>
      <c r="D16" s="11">
        <v>283.2</v>
      </c>
      <c r="E16" s="11">
        <v>262.8</v>
      </c>
      <c r="F16" s="12">
        <v>286.10000000000002</v>
      </c>
      <c r="G16" s="11">
        <v>96</v>
      </c>
      <c r="H16" s="11">
        <v>99.1</v>
      </c>
      <c r="I16" s="11">
        <v>28.6</v>
      </c>
      <c r="J16" s="11">
        <v>99.8</v>
      </c>
      <c r="K16" s="11">
        <v>89.9</v>
      </c>
      <c r="L16" s="13">
        <v>82.7</v>
      </c>
      <c r="M16" s="14">
        <v>67.41</v>
      </c>
      <c r="N16" s="26">
        <v>7</v>
      </c>
      <c r="O16" s="30" t="str">
        <f t="shared" si="0"/>
        <v>Moderate Learning Outcome</v>
      </c>
      <c r="P16" s="28" t="str">
        <f t="shared" si="1"/>
        <v>Moderate Infrastructure</v>
      </c>
      <c r="Q16" t="str">
        <f t="shared" si="2"/>
        <v>Moderate Learning Outcome, Moderate Infrastructure</v>
      </c>
      <c r="R16" s="33" t="s">
        <v>23</v>
      </c>
    </row>
    <row r="17" spans="1:18" ht="49.95" customHeight="1" x14ac:dyDescent="0.3">
      <c r="A17" s="15" t="s">
        <v>42</v>
      </c>
      <c r="B17" s="16">
        <v>305.7</v>
      </c>
      <c r="C17" s="16">
        <v>283</v>
      </c>
      <c r="D17" s="16">
        <v>267</v>
      </c>
      <c r="E17" s="16">
        <v>241.2</v>
      </c>
      <c r="F17" s="12">
        <v>274.2</v>
      </c>
      <c r="G17" s="16">
        <v>99</v>
      </c>
      <c r="H17" s="16">
        <v>98.7</v>
      </c>
      <c r="I17" s="16">
        <v>14.9</v>
      </c>
      <c r="J17" s="16">
        <v>100</v>
      </c>
      <c r="K17" s="16">
        <v>86.8</v>
      </c>
      <c r="L17" s="13">
        <v>79.900000000000006</v>
      </c>
      <c r="M17" s="14">
        <v>64.86</v>
      </c>
      <c r="N17" s="27">
        <v>16</v>
      </c>
      <c r="O17" s="30" t="str">
        <f t="shared" si="0"/>
        <v>Weak Learning Outcome</v>
      </c>
      <c r="P17" s="28" t="str">
        <f t="shared" si="1"/>
        <v>Moderate Infrastructure</v>
      </c>
      <c r="Q17" t="str">
        <f t="shared" si="2"/>
        <v>Weak Learning Outcome, Moderate Infrastructure</v>
      </c>
      <c r="R17" s="34" t="s">
        <v>25</v>
      </c>
    </row>
    <row r="18" spans="1:18" ht="49.95" customHeight="1" x14ac:dyDescent="0.3">
      <c r="A18" s="10" t="s">
        <v>43</v>
      </c>
      <c r="B18" s="11">
        <v>317.7</v>
      </c>
      <c r="C18" s="11">
        <v>304.3</v>
      </c>
      <c r="D18" s="11">
        <v>280</v>
      </c>
      <c r="E18" s="11">
        <v>242</v>
      </c>
      <c r="F18" s="12">
        <v>286</v>
      </c>
      <c r="G18" s="11">
        <v>88.6</v>
      </c>
      <c r="H18" s="11">
        <v>76.599999999999994</v>
      </c>
      <c r="I18" s="11">
        <v>9.9</v>
      </c>
      <c r="J18" s="11">
        <v>97.4</v>
      </c>
      <c r="K18" s="11">
        <v>61.8</v>
      </c>
      <c r="L18" s="13">
        <v>66.900000000000006</v>
      </c>
      <c r="M18" s="14">
        <v>61.08</v>
      </c>
      <c r="N18" s="26">
        <v>28</v>
      </c>
      <c r="O18" s="30" t="str">
        <f t="shared" si="0"/>
        <v>Moderate Learning Outcome</v>
      </c>
      <c r="P18" s="28" t="str">
        <f t="shared" si="1"/>
        <v>Weak Infrastructure</v>
      </c>
      <c r="Q18" t="str">
        <f t="shared" si="2"/>
        <v>Moderate Learning Outcome, Weak Infrastructure</v>
      </c>
      <c r="R18" s="36" t="s">
        <v>29</v>
      </c>
    </row>
    <row r="19" spans="1:18" ht="49.95" customHeight="1" x14ac:dyDescent="0.3">
      <c r="A19" s="15" t="s">
        <v>44</v>
      </c>
      <c r="B19" s="16">
        <v>303.7</v>
      </c>
      <c r="C19" s="16">
        <v>285.7</v>
      </c>
      <c r="D19" s="16">
        <v>264.5</v>
      </c>
      <c r="E19" s="16">
        <v>235.4</v>
      </c>
      <c r="F19" s="12">
        <v>272.3</v>
      </c>
      <c r="G19" s="16">
        <v>98.4</v>
      </c>
      <c r="H19" s="16">
        <v>95.2</v>
      </c>
      <c r="I19" s="16">
        <v>6.2</v>
      </c>
      <c r="J19" s="16">
        <v>98.3</v>
      </c>
      <c r="K19" s="16">
        <v>71.2</v>
      </c>
      <c r="L19" s="13">
        <v>73.900000000000006</v>
      </c>
      <c r="M19" s="14">
        <v>62.24</v>
      </c>
      <c r="N19" s="27">
        <v>24</v>
      </c>
      <c r="O19" s="30" t="str">
        <f t="shared" si="0"/>
        <v>Weak Learning Outcome</v>
      </c>
      <c r="P19" s="28" t="str">
        <f t="shared" si="1"/>
        <v>Weak Infrastructure</v>
      </c>
      <c r="Q19" t="str">
        <f t="shared" si="2"/>
        <v>Weak Learning Outcome, Weak Infrastructure</v>
      </c>
      <c r="R19" s="35" t="s">
        <v>27</v>
      </c>
    </row>
    <row r="20" spans="1:18" ht="49.95" customHeight="1" x14ac:dyDescent="0.3">
      <c r="A20" s="10" t="s">
        <v>45</v>
      </c>
      <c r="B20" s="11">
        <v>312</v>
      </c>
      <c r="C20" s="11">
        <v>291.7</v>
      </c>
      <c r="D20" s="11">
        <v>263</v>
      </c>
      <c r="E20" s="11">
        <v>237</v>
      </c>
      <c r="F20" s="12">
        <v>275.89999999999998</v>
      </c>
      <c r="G20" s="11">
        <v>98</v>
      </c>
      <c r="H20" s="11">
        <v>99.1</v>
      </c>
      <c r="I20" s="11">
        <v>11.5</v>
      </c>
      <c r="J20" s="11">
        <v>99.7</v>
      </c>
      <c r="K20" s="11">
        <v>81.3</v>
      </c>
      <c r="L20" s="13">
        <v>77.900000000000006</v>
      </c>
      <c r="M20" s="14">
        <v>64.27</v>
      </c>
      <c r="N20" s="26">
        <v>17</v>
      </c>
      <c r="O20" s="30" t="str">
        <f t="shared" si="0"/>
        <v>Weak Learning Outcome</v>
      </c>
      <c r="P20" s="28" t="str">
        <f t="shared" si="1"/>
        <v>Moderate Infrastructure</v>
      </c>
      <c r="Q20" t="str">
        <f t="shared" si="2"/>
        <v>Weak Learning Outcome, Moderate Infrastructure</v>
      </c>
      <c r="R20" s="34" t="s">
        <v>25</v>
      </c>
    </row>
    <row r="21" spans="1:18" ht="49.95" customHeight="1" x14ac:dyDescent="0.3">
      <c r="A21" s="15" t="s">
        <v>46</v>
      </c>
      <c r="B21" s="16">
        <v>324.3</v>
      </c>
      <c r="C21" s="16">
        <v>291.7</v>
      </c>
      <c r="D21" s="16">
        <v>263.5</v>
      </c>
      <c r="E21" s="16">
        <v>247</v>
      </c>
      <c r="F21" s="12">
        <v>281.60000000000002</v>
      </c>
      <c r="G21" s="16">
        <v>99.2</v>
      </c>
      <c r="H21" s="16">
        <v>99.6</v>
      </c>
      <c r="I21" s="16">
        <v>83.6</v>
      </c>
      <c r="J21" s="16">
        <v>99.9</v>
      </c>
      <c r="K21" s="16">
        <v>88</v>
      </c>
      <c r="L21" s="13">
        <v>94.1</v>
      </c>
      <c r="M21" s="14">
        <v>71.430000000000007</v>
      </c>
      <c r="N21" s="27">
        <v>3</v>
      </c>
      <c r="O21" s="30" t="str">
        <f t="shared" si="0"/>
        <v>Moderate Learning Outcome</v>
      </c>
      <c r="P21" s="28" t="str">
        <f t="shared" si="1"/>
        <v>High Infrastructure</v>
      </c>
      <c r="Q21" t="str">
        <f t="shared" si="2"/>
        <v>Moderate Learning Outcome, High Infrastructure</v>
      </c>
      <c r="R21" s="33" t="s">
        <v>23</v>
      </c>
    </row>
    <row r="22" spans="1:18" ht="49.95" customHeight="1" x14ac:dyDescent="0.3">
      <c r="A22" s="10" t="s">
        <v>47</v>
      </c>
      <c r="B22" s="11">
        <v>295.3</v>
      </c>
      <c r="C22" s="11">
        <v>291.3</v>
      </c>
      <c r="D22" s="11">
        <v>273</v>
      </c>
      <c r="E22" s="11">
        <v>240.6</v>
      </c>
      <c r="F22" s="12">
        <v>275.10000000000002</v>
      </c>
      <c r="G22" s="11">
        <v>91.1</v>
      </c>
      <c r="H22" s="11">
        <v>93.4</v>
      </c>
      <c r="I22" s="11">
        <v>16.3</v>
      </c>
      <c r="J22" s="11">
        <v>99.5</v>
      </c>
      <c r="K22" s="11">
        <v>76.5</v>
      </c>
      <c r="L22" s="13">
        <v>75.400000000000006</v>
      </c>
      <c r="M22" s="14">
        <v>63.17</v>
      </c>
      <c r="N22" s="26">
        <v>21</v>
      </c>
      <c r="O22" s="30" t="str">
        <f t="shared" si="0"/>
        <v>Weak Learning Outcome</v>
      </c>
      <c r="P22" s="28" t="str">
        <f t="shared" si="1"/>
        <v>Weak Infrastructure</v>
      </c>
      <c r="Q22" t="str">
        <f t="shared" si="2"/>
        <v>Weak Learning Outcome, Weak Infrastructure</v>
      </c>
      <c r="R22" s="35" t="s">
        <v>27</v>
      </c>
    </row>
    <row r="23" spans="1:18" ht="49.95" customHeight="1" x14ac:dyDescent="0.3">
      <c r="A23" s="15" t="s">
        <v>48</v>
      </c>
      <c r="B23" s="16">
        <v>306.3</v>
      </c>
      <c r="C23" s="16">
        <v>285.3</v>
      </c>
      <c r="D23" s="16">
        <v>259.8</v>
      </c>
      <c r="E23" s="16">
        <v>233.2</v>
      </c>
      <c r="F23" s="12">
        <v>271.2</v>
      </c>
      <c r="G23" s="16">
        <v>100</v>
      </c>
      <c r="H23" s="16">
        <v>100</v>
      </c>
      <c r="I23" s="16">
        <v>78.900000000000006</v>
      </c>
      <c r="J23" s="16">
        <v>100</v>
      </c>
      <c r="K23" s="16">
        <v>97.4</v>
      </c>
      <c r="L23" s="13">
        <v>95.3</v>
      </c>
      <c r="M23" s="14">
        <v>70.66</v>
      </c>
      <c r="N23" s="27">
        <v>4</v>
      </c>
      <c r="O23" s="30" t="str">
        <f t="shared" si="0"/>
        <v>Weak Learning Outcome</v>
      </c>
      <c r="P23" s="28" t="str">
        <f t="shared" si="1"/>
        <v>High Infrastructure</v>
      </c>
      <c r="Q23" t="str">
        <f t="shared" si="2"/>
        <v>Weak Learning Outcome, High Infrastructure</v>
      </c>
      <c r="R23" s="34" t="s">
        <v>25</v>
      </c>
    </row>
    <row r="24" spans="1:18" ht="49.95" customHeight="1" x14ac:dyDescent="0.3">
      <c r="A24" s="10" t="s">
        <v>49</v>
      </c>
      <c r="B24" s="11">
        <v>320.7</v>
      </c>
      <c r="C24" s="11">
        <v>303</v>
      </c>
      <c r="D24" s="11">
        <v>274.5</v>
      </c>
      <c r="E24" s="11">
        <v>238.4</v>
      </c>
      <c r="F24" s="12">
        <v>284.2</v>
      </c>
      <c r="G24" s="11">
        <v>97.4</v>
      </c>
      <c r="H24" s="11">
        <v>77.099999999999994</v>
      </c>
      <c r="I24" s="11">
        <v>2.7</v>
      </c>
      <c r="J24" s="11">
        <v>98.4</v>
      </c>
      <c r="K24" s="11">
        <v>80.5</v>
      </c>
      <c r="L24" s="13">
        <v>71.2</v>
      </c>
      <c r="M24" s="14">
        <v>62.58</v>
      </c>
      <c r="N24" s="26">
        <v>23</v>
      </c>
      <c r="O24" s="30" t="str">
        <f t="shared" si="0"/>
        <v>Moderate Learning Outcome</v>
      </c>
      <c r="P24" s="28" t="str">
        <f t="shared" si="1"/>
        <v>Weak Infrastructure</v>
      </c>
      <c r="Q24" t="str">
        <f t="shared" si="2"/>
        <v>Moderate Learning Outcome, Weak Infrastructure</v>
      </c>
      <c r="R24" s="36" t="s">
        <v>29</v>
      </c>
    </row>
    <row r="25" spans="1:18" ht="49.95" customHeight="1" x14ac:dyDescent="0.3">
      <c r="A25" s="15" t="s">
        <v>50</v>
      </c>
      <c r="B25" s="16">
        <v>321.7</v>
      </c>
      <c r="C25" s="16">
        <v>298.3</v>
      </c>
      <c r="D25" s="16">
        <v>266.2</v>
      </c>
      <c r="E25" s="16">
        <v>239.8</v>
      </c>
      <c r="F25" s="12">
        <v>281.5</v>
      </c>
      <c r="G25" s="16">
        <v>96.9</v>
      </c>
      <c r="H25" s="16">
        <v>95</v>
      </c>
      <c r="I25" s="16">
        <v>24.9</v>
      </c>
      <c r="J25" s="16">
        <v>99.5</v>
      </c>
      <c r="K25" s="16">
        <v>93.1</v>
      </c>
      <c r="L25" s="13">
        <v>81.900000000000006</v>
      </c>
      <c r="M25" s="14">
        <v>66.540000000000006</v>
      </c>
      <c r="N25" s="27">
        <v>11</v>
      </c>
      <c r="O25" s="30" t="str">
        <f t="shared" si="0"/>
        <v>Moderate Learning Outcome</v>
      </c>
      <c r="P25" s="28" t="str">
        <f t="shared" si="1"/>
        <v>Moderate Infrastructure</v>
      </c>
      <c r="Q25" t="str">
        <f t="shared" si="2"/>
        <v>Moderate Learning Outcome, Moderate Infrastructure</v>
      </c>
      <c r="R25" s="33" t="s">
        <v>23</v>
      </c>
    </row>
    <row r="26" spans="1:18" ht="49.95" customHeight="1" x14ac:dyDescent="0.3">
      <c r="A26" s="10" t="s">
        <v>51</v>
      </c>
      <c r="B26" s="11">
        <v>319.3</v>
      </c>
      <c r="C26" s="11">
        <v>298.7</v>
      </c>
      <c r="D26" s="11">
        <v>275</v>
      </c>
      <c r="E26" s="11">
        <v>242.2</v>
      </c>
      <c r="F26" s="12">
        <v>283.8</v>
      </c>
      <c r="G26" s="11">
        <v>86.9</v>
      </c>
      <c r="H26" s="11">
        <v>66.5</v>
      </c>
      <c r="I26" s="11">
        <v>4.4000000000000004</v>
      </c>
      <c r="J26" s="11">
        <v>98.9</v>
      </c>
      <c r="K26" s="11">
        <v>86.9</v>
      </c>
      <c r="L26" s="13">
        <v>68.7</v>
      </c>
      <c r="M26" s="14">
        <v>61.54</v>
      </c>
      <c r="N26" s="26">
        <v>25</v>
      </c>
      <c r="O26" s="30" t="str">
        <f t="shared" si="0"/>
        <v>Moderate Learning Outcome</v>
      </c>
      <c r="P26" s="28" t="str">
        <f t="shared" si="1"/>
        <v>Weak Infrastructure</v>
      </c>
      <c r="Q26" t="str">
        <f t="shared" si="2"/>
        <v>Moderate Learning Outcome, Weak Infrastructure</v>
      </c>
      <c r="R26" s="36" t="s">
        <v>29</v>
      </c>
    </row>
    <row r="27" spans="1:18" ht="49.95" customHeight="1" x14ac:dyDescent="0.3">
      <c r="A27" s="15" t="s">
        <v>52</v>
      </c>
      <c r="B27" s="16">
        <v>291.3</v>
      </c>
      <c r="C27" s="16">
        <v>273.7</v>
      </c>
      <c r="D27" s="16">
        <v>243</v>
      </c>
      <c r="E27" s="16">
        <v>219.2</v>
      </c>
      <c r="F27" s="12">
        <v>256.8</v>
      </c>
      <c r="G27" s="16">
        <v>81.7</v>
      </c>
      <c r="H27" s="16">
        <v>26.5</v>
      </c>
      <c r="I27" s="16">
        <v>2</v>
      </c>
      <c r="J27" s="16">
        <v>53</v>
      </c>
      <c r="K27" s="16">
        <v>43.7</v>
      </c>
      <c r="L27" s="13">
        <v>41.4</v>
      </c>
      <c r="M27" s="14">
        <v>47.38</v>
      </c>
      <c r="N27" s="27">
        <v>37</v>
      </c>
      <c r="O27" s="30" t="str">
        <f t="shared" si="0"/>
        <v>Critical Learning Outcome</v>
      </c>
      <c r="P27" s="28" t="str">
        <f t="shared" si="1"/>
        <v>Critical Infrastructure</v>
      </c>
      <c r="Q27" t="str">
        <f t="shared" si="2"/>
        <v>Critical Learning Outcome, Critical Infrastructure</v>
      </c>
      <c r="R27" s="37" t="s">
        <v>34</v>
      </c>
    </row>
    <row r="28" spans="1:18" ht="49.95" customHeight="1" x14ac:dyDescent="0.3">
      <c r="A28" s="10" t="s">
        <v>53</v>
      </c>
      <c r="B28" s="11">
        <v>315</v>
      </c>
      <c r="C28" s="11">
        <v>280.7</v>
      </c>
      <c r="D28" s="11">
        <v>255</v>
      </c>
      <c r="E28" s="11">
        <v>217.8</v>
      </c>
      <c r="F28" s="12">
        <v>267.10000000000002</v>
      </c>
      <c r="G28" s="11">
        <v>93</v>
      </c>
      <c r="H28" s="11">
        <v>84.3</v>
      </c>
      <c r="I28" s="11">
        <v>1.5</v>
      </c>
      <c r="J28" s="11">
        <v>91.7</v>
      </c>
      <c r="K28" s="11">
        <v>80.400000000000006</v>
      </c>
      <c r="L28" s="13">
        <v>70.2</v>
      </c>
      <c r="M28" s="14">
        <v>60.13</v>
      </c>
      <c r="N28" s="26">
        <v>31</v>
      </c>
      <c r="O28" s="30" t="str">
        <f t="shared" si="0"/>
        <v>Weak Learning Outcome</v>
      </c>
      <c r="P28" s="28" t="str">
        <f t="shared" si="1"/>
        <v>Weak Infrastructure</v>
      </c>
      <c r="Q28" t="str">
        <f t="shared" si="2"/>
        <v>Weak Learning Outcome, Weak Infrastructure</v>
      </c>
      <c r="R28" s="35" t="s">
        <v>27</v>
      </c>
    </row>
    <row r="29" spans="1:18" ht="49.95" customHeight="1" x14ac:dyDescent="0.3">
      <c r="A29" s="15" t="s">
        <v>54</v>
      </c>
      <c r="B29" s="16">
        <v>304.7</v>
      </c>
      <c r="C29" s="16">
        <v>279</v>
      </c>
      <c r="D29" s="16">
        <v>262.2</v>
      </c>
      <c r="E29" s="16">
        <v>233.8</v>
      </c>
      <c r="F29" s="12">
        <v>269.89999999999998</v>
      </c>
      <c r="G29" s="16">
        <v>90.6</v>
      </c>
      <c r="H29" s="16">
        <v>76.3</v>
      </c>
      <c r="I29" s="16">
        <v>11.4</v>
      </c>
      <c r="J29" s="16">
        <v>66.099999999999994</v>
      </c>
      <c r="K29" s="16">
        <v>72.900000000000006</v>
      </c>
      <c r="L29" s="13">
        <v>63.5</v>
      </c>
      <c r="M29" s="14">
        <v>57.79</v>
      </c>
      <c r="N29" s="27">
        <v>35</v>
      </c>
      <c r="O29" s="30" t="str">
        <f t="shared" si="0"/>
        <v>Weak Learning Outcome</v>
      </c>
      <c r="P29" s="28" t="str">
        <f t="shared" si="1"/>
        <v>Critical Infrastructure</v>
      </c>
      <c r="Q29" t="str">
        <f t="shared" si="2"/>
        <v>Weak Learning Outcome, Critical Infrastructure</v>
      </c>
      <c r="R29" s="35" t="s">
        <v>27</v>
      </c>
    </row>
    <row r="30" spans="1:18" ht="49.95" customHeight="1" x14ac:dyDescent="0.3">
      <c r="A30" s="10" t="s">
        <v>55</v>
      </c>
      <c r="B30" s="11">
        <v>317.3</v>
      </c>
      <c r="C30" s="11">
        <v>292.3</v>
      </c>
      <c r="D30" s="11">
        <v>268</v>
      </c>
      <c r="E30" s="11">
        <v>236.2</v>
      </c>
      <c r="F30" s="12">
        <v>278.39999999999998</v>
      </c>
      <c r="G30" s="11">
        <v>96</v>
      </c>
      <c r="H30" s="11">
        <v>84.3</v>
      </c>
      <c r="I30" s="11">
        <v>6.2</v>
      </c>
      <c r="J30" s="11">
        <v>98.8</v>
      </c>
      <c r="K30" s="11">
        <v>64</v>
      </c>
      <c r="L30" s="13">
        <v>69.900000000000006</v>
      </c>
      <c r="M30" s="14">
        <v>61.37</v>
      </c>
      <c r="N30" s="26">
        <v>27</v>
      </c>
      <c r="O30" s="30" t="str">
        <f t="shared" si="0"/>
        <v>Moderate Learning Outcome</v>
      </c>
      <c r="P30" s="28" t="str">
        <f t="shared" si="1"/>
        <v>Weak Infrastructure</v>
      </c>
      <c r="Q30" t="str">
        <f t="shared" si="2"/>
        <v>Moderate Learning Outcome, Weak Infrastructure</v>
      </c>
      <c r="R30" s="36" t="s">
        <v>29</v>
      </c>
    </row>
    <row r="31" spans="1:18" ht="49.95" customHeight="1" x14ac:dyDescent="0.3">
      <c r="A31" s="15" t="s">
        <v>56</v>
      </c>
      <c r="B31" s="16">
        <v>318.7</v>
      </c>
      <c r="C31" s="16">
        <v>300.3</v>
      </c>
      <c r="D31" s="16">
        <v>270.2</v>
      </c>
      <c r="E31" s="16">
        <v>249.4</v>
      </c>
      <c r="F31" s="12">
        <v>284.7</v>
      </c>
      <c r="G31" s="16">
        <v>96.5</v>
      </c>
      <c r="H31" s="16">
        <v>100</v>
      </c>
      <c r="I31" s="16">
        <v>56.4</v>
      </c>
      <c r="J31" s="16">
        <v>100</v>
      </c>
      <c r="K31" s="16">
        <v>91.8</v>
      </c>
      <c r="L31" s="13">
        <v>88.9</v>
      </c>
      <c r="M31" s="14">
        <v>69.72</v>
      </c>
      <c r="N31" s="27">
        <v>5</v>
      </c>
      <c r="O31" s="30" t="str">
        <f t="shared" si="0"/>
        <v>Moderate Learning Outcome</v>
      </c>
      <c r="P31" s="28" t="str">
        <f t="shared" si="1"/>
        <v>High Infrastructure</v>
      </c>
      <c r="Q31" t="str">
        <f t="shared" si="2"/>
        <v>Moderate Learning Outcome, High Infrastructure</v>
      </c>
      <c r="R31" s="33" t="s">
        <v>23</v>
      </c>
    </row>
    <row r="32" spans="1:18" ht="49.95" customHeight="1" x14ac:dyDescent="0.3">
      <c r="A32" s="10" t="s">
        <v>57</v>
      </c>
      <c r="B32" s="11">
        <v>342.7</v>
      </c>
      <c r="C32" s="11">
        <v>321.7</v>
      </c>
      <c r="D32" s="11">
        <v>302.5</v>
      </c>
      <c r="E32" s="11">
        <v>285</v>
      </c>
      <c r="F32" s="12">
        <v>313</v>
      </c>
      <c r="G32" s="11">
        <v>98.9</v>
      </c>
      <c r="H32" s="11">
        <v>100</v>
      </c>
      <c r="I32" s="11">
        <v>47.5</v>
      </c>
      <c r="J32" s="11">
        <v>100</v>
      </c>
      <c r="K32" s="11">
        <v>97.5</v>
      </c>
      <c r="L32" s="13">
        <v>88.8</v>
      </c>
      <c r="M32" s="14">
        <v>73.08</v>
      </c>
      <c r="N32" s="26">
        <v>2</v>
      </c>
      <c r="O32" s="30" t="str">
        <f t="shared" si="0"/>
        <v>Strong Learning Outcome</v>
      </c>
      <c r="P32" s="28" t="str">
        <f t="shared" si="1"/>
        <v>High Infrastructure</v>
      </c>
      <c r="Q32" t="str">
        <f t="shared" si="2"/>
        <v>Strong Learning Outcome, High Infrastructure</v>
      </c>
      <c r="R32" s="32" t="s">
        <v>32</v>
      </c>
    </row>
    <row r="33" spans="1:18" ht="49.95" customHeight="1" x14ac:dyDescent="0.3">
      <c r="A33" s="15" t="s">
        <v>58</v>
      </c>
      <c r="B33" s="16">
        <v>328.7</v>
      </c>
      <c r="C33" s="16">
        <v>312</v>
      </c>
      <c r="D33" s="16">
        <v>292.5</v>
      </c>
      <c r="E33" s="16">
        <v>264.8</v>
      </c>
      <c r="F33" s="12">
        <v>299.5</v>
      </c>
      <c r="G33" s="16">
        <v>98</v>
      </c>
      <c r="H33" s="16">
        <v>87.7</v>
      </c>
      <c r="I33" s="16">
        <v>10</v>
      </c>
      <c r="J33" s="16">
        <v>97.9</v>
      </c>
      <c r="K33" s="16">
        <v>80.400000000000006</v>
      </c>
      <c r="L33" s="13">
        <v>74.8</v>
      </c>
      <c r="M33" s="14">
        <v>65.86</v>
      </c>
      <c r="N33" s="27">
        <v>14</v>
      </c>
      <c r="O33" s="30" t="str">
        <f t="shared" si="0"/>
        <v>Strong Learning Outcome</v>
      </c>
      <c r="P33" s="28" t="str">
        <f t="shared" si="1"/>
        <v>Weak Infrastructure</v>
      </c>
      <c r="Q33" t="str">
        <f t="shared" si="2"/>
        <v>Strong Learning Outcome, Weak Infrastructure</v>
      </c>
      <c r="R33" s="39" t="s">
        <v>59</v>
      </c>
    </row>
    <row r="34" spans="1:18" ht="49.95" customHeight="1" x14ac:dyDescent="0.3">
      <c r="A34" s="10" t="s">
        <v>60</v>
      </c>
      <c r="B34" s="11">
        <v>312.7</v>
      </c>
      <c r="C34" s="11">
        <v>284.7</v>
      </c>
      <c r="D34" s="11">
        <v>261</v>
      </c>
      <c r="E34" s="11">
        <v>233.6</v>
      </c>
      <c r="F34" s="12">
        <v>273</v>
      </c>
      <c r="G34" s="11">
        <v>92.5</v>
      </c>
      <c r="H34" s="11">
        <v>99.6</v>
      </c>
      <c r="I34" s="11">
        <v>32.200000000000003</v>
      </c>
      <c r="J34" s="11">
        <v>99.5</v>
      </c>
      <c r="K34" s="11">
        <v>85.6</v>
      </c>
      <c r="L34" s="13">
        <v>81.900000000000006</v>
      </c>
      <c r="M34" s="14">
        <v>65.52</v>
      </c>
      <c r="N34" s="26">
        <v>15</v>
      </c>
      <c r="O34" s="30" t="str">
        <f t="shared" si="0"/>
        <v>Weak Learning Outcome</v>
      </c>
      <c r="P34" s="28" t="str">
        <f t="shared" si="1"/>
        <v>Moderate Infrastructure</v>
      </c>
      <c r="Q34" t="str">
        <f t="shared" si="2"/>
        <v>Weak Learning Outcome, Moderate Infrastructure</v>
      </c>
      <c r="R34" s="34" t="s">
        <v>25</v>
      </c>
    </row>
    <row r="35" spans="1:18" ht="49.95" customHeight="1" x14ac:dyDescent="0.3">
      <c r="A35" s="15" t="s">
        <v>61</v>
      </c>
      <c r="B35" s="16">
        <v>309.3</v>
      </c>
      <c r="C35" s="16">
        <v>284.7</v>
      </c>
      <c r="D35" s="16">
        <v>247.5</v>
      </c>
      <c r="E35" s="16">
        <v>229.2</v>
      </c>
      <c r="F35" s="12">
        <v>267.7</v>
      </c>
      <c r="G35" s="16">
        <v>98.9</v>
      </c>
      <c r="H35" s="16">
        <v>100</v>
      </c>
      <c r="I35" s="16">
        <v>9.9</v>
      </c>
      <c r="J35" s="16">
        <v>100</v>
      </c>
      <c r="K35" s="16">
        <v>86.8</v>
      </c>
      <c r="L35" s="13">
        <v>79.099999999999994</v>
      </c>
      <c r="M35" s="14">
        <v>63.76</v>
      </c>
      <c r="N35" s="27">
        <v>18</v>
      </c>
      <c r="O35" s="30" t="str">
        <f t="shared" si="0"/>
        <v>Weak Learning Outcome</v>
      </c>
      <c r="P35" s="28" t="str">
        <f t="shared" si="1"/>
        <v>Moderate Infrastructure</v>
      </c>
      <c r="Q35" t="str">
        <f t="shared" si="2"/>
        <v>Weak Learning Outcome, Moderate Infrastructure</v>
      </c>
      <c r="R35" s="34" t="s">
        <v>25</v>
      </c>
    </row>
    <row r="36" spans="1:18" ht="49.95" customHeight="1" x14ac:dyDescent="0.3">
      <c r="A36" s="10" t="s">
        <v>62</v>
      </c>
      <c r="B36" s="11">
        <v>284.7</v>
      </c>
      <c r="C36" s="11">
        <v>270.3</v>
      </c>
      <c r="D36" s="11">
        <v>250.5</v>
      </c>
      <c r="E36" s="11">
        <v>234.2</v>
      </c>
      <c r="F36" s="12">
        <v>259.89999999999998</v>
      </c>
      <c r="G36" s="11">
        <v>90.1</v>
      </c>
      <c r="H36" s="11">
        <v>93.9</v>
      </c>
      <c r="I36" s="11">
        <v>4.0999999999999996</v>
      </c>
      <c r="J36" s="11">
        <v>95.4</v>
      </c>
      <c r="K36" s="11">
        <v>73.599999999999994</v>
      </c>
      <c r="L36" s="13">
        <v>71.400000000000006</v>
      </c>
      <c r="M36" s="14">
        <v>59.75</v>
      </c>
      <c r="N36" s="26">
        <v>33</v>
      </c>
      <c r="O36" s="30" t="str">
        <f t="shared" si="0"/>
        <v>Critical Learning Outcome</v>
      </c>
      <c r="P36" s="28" t="str">
        <f t="shared" si="1"/>
        <v>Weak Infrastructure</v>
      </c>
      <c r="Q36" t="str">
        <f t="shared" si="2"/>
        <v>Critical Learning Outcome, Weak Infrastructure</v>
      </c>
      <c r="R36" s="37" t="s">
        <v>34</v>
      </c>
    </row>
    <row r="37" spans="1:18" ht="49.95" customHeight="1" x14ac:dyDescent="0.3">
      <c r="A37" s="15" t="s">
        <v>63</v>
      </c>
      <c r="B37" s="16">
        <v>300.7</v>
      </c>
      <c r="C37" s="16">
        <v>285.3</v>
      </c>
      <c r="D37" s="16">
        <v>266</v>
      </c>
      <c r="E37" s="16">
        <v>232</v>
      </c>
      <c r="F37" s="12">
        <v>271</v>
      </c>
      <c r="G37" s="16">
        <v>89.5</v>
      </c>
      <c r="H37" s="16">
        <v>57.3</v>
      </c>
      <c r="I37" s="16">
        <v>9.6</v>
      </c>
      <c r="J37" s="16">
        <v>83.9</v>
      </c>
      <c r="K37" s="16">
        <v>78</v>
      </c>
      <c r="L37" s="13">
        <v>63.7</v>
      </c>
      <c r="M37" s="14">
        <v>58</v>
      </c>
      <c r="N37" s="27">
        <v>34</v>
      </c>
      <c r="O37" s="30" t="str">
        <f t="shared" si="0"/>
        <v>Weak Learning Outcome</v>
      </c>
      <c r="P37" s="28" t="str">
        <f t="shared" si="1"/>
        <v>Critical Infrastructure</v>
      </c>
      <c r="Q37" t="str">
        <f t="shared" si="2"/>
        <v>Weak Learning Outcome, Critical Infrastructure</v>
      </c>
      <c r="R37" s="35" t="s">
        <v>27</v>
      </c>
    </row>
    <row r="38" spans="1:18" ht="49.95" customHeight="1" x14ac:dyDescent="0.3">
      <c r="A38" s="10" t="s">
        <v>64</v>
      </c>
      <c r="B38" s="11">
        <v>304</v>
      </c>
      <c r="C38" s="11">
        <v>286.3</v>
      </c>
      <c r="D38" s="11">
        <v>253.5</v>
      </c>
      <c r="E38" s="11">
        <v>224.2</v>
      </c>
      <c r="F38" s="12">
        <v>267</v>
      </c>
      <c r="G38" s="11">
        <v>98.4</v>
      </c>
      <c r="H38" s="11">
        <v>84.5</v>
      </c>
      <c r="I38" s="11">
        <v>3.2</v>
      </c>
      <c r="J38" s="11">
        <v>99.1</v>
      </c>
      <c r="K38" s="11">
        <v>76.2</v>
      </c>
      <c r="L38" s="13">
        <v>72.3</v>
      </c>
      <c r="M38" s="14">
        <v>60.96</v>
      </c>
      <c r="N38" s="26">
        <v>29</v>
      </c>
      <c r="O38" s="30" t="str">
        <f t="shared" si="0"/>
        <v>Weak Learning Outcome</v>
      </c>
      <c r="P38" s="28" t="str">
        <f t="shared" si="1"/>
        <v>Weak Infrastructure</v>
      </c>
      <c r="Q38" t="str">
        <f t="shared" si="2"/>
        <v>Weak Learning Outcome, Weak Infrastructure</v>
      </c>
      <c r="R38" s="35" t="s">
        <v>27</v>
      </c>
    </row>
    <row r="39" spans="1:18" ht="49.95" customHeight="1" x14ac:dyDescent="0.3">
      <c r="A39" s="15" t="s">
        <v>65</v>
      </c>
      <c r="B39" s="16">
        <v>299.3</v>
      </c>
      <c r="C39" s="16">
        <v>285.7</v>
      </c>
      <c r="D39" s="16">
        <v>266</v>
      </c>
      <c r="E39" s="16">
        <v>239.8</v>
      </c>
      <c r="F39" s="12">
        <v>272.7</v>
      </c>
      <c r="G39" s="16">
        <v>95.1</v>
      </c>
      <c r="H39" s="16">
        <v>91.6</v>
      </c>
      <c r="I39" s="16">
        <v>15.5</v>
      </c>
      <c r="J39" s="16">
        <v>96.9</v>
      </c>
      <c r="K39" s="16">
        <v>77.7</v>
      </c>
      <c r="L39" s="13">
        <v>75.400000000000006</v>
      </c>
      <c r="M39" s="14">
        <v>62.88</v>
      </c>
      <c r="N39" s="27">
        <v>22</v>
      </c>
      <c r="O39" s="30" t="str">
        <f t="shared" si="0"/>
        <v>Weak Learning Outcome</v>
      </c>
      <c r="P39" s="28" t="str">
        <f t="shared" si="1"/>
        <v>Weak Infrastructure</v>
      </c>
      <c r="Q39" t="str">
        <f t="shared" si="2"/>
        <v>Weak Learning Outcome, Weak Infrastructure</v>
      </c>
      <c r="R39" s="35" t="s">
        <v>27</v>
      </c>
    </row>
    <row r="40" spans="1:18" ht="49.95" customHeight="1" x14ac:dyDescent="0.3">
      <c r="A40" s="10" t="s">
        <v>66</v>
      </c>
      <c r="B40" s="11">
        <v>321.7</v>
      </c>
      <c r="C40" s="11">
        <v>299.3</v>
      </c>
      <c r="D40" s="11">
        <v>274.5</v>
      </c>
      <c r="E40" s="11">
        <v>239</v>
      </c>
      <c r="F40" s="12">
        <v>283.60000000000002</v>
      </c>
      <c r="G40" s="11">
        <v>98.8</v>
      </c>
      <c r="H40" s="11">
        <v>97.3</v>
      </c>
      <c r="I40" s="11">
        <v>8.6</v>
      </c>
      <c r="J40" s="11">
        <v>99.5</v>
      </c>
      <c r="K40" s="11">
        <v>66</v>
      </c>
      <c r="L40" s="13">
        <v>74</v>
      </c>
      <c r="M40" s="14">
        <v>63.63</v>
      </c>
      <c r="N40" s="26">
        <v>19</v>
      </c>
      <c r="O40" s="30" t="str">
        <f t="shared" si="0"/>
        <v>Moderate Learning Outcome</v>
      </c>
      <c r="P40" s="28" t="str">
        <f t="shared" si="1"/>
        <v>Weak Infrastructure</v>
      </c>
      <c r="Q40" t="str">
        <f t="shared" si="2"/>
        <v>Moderate Learning Outcome, Weak Infrastructure</v>
      </c>
      <c r="R40" s="36" t="s">
        <v>29</v>
      </c>
    </row>
  </sheetData>
  <mergeCells count="5">
    <mergeCell ref="O1:Q1"/>
    <mergeCell ref="G2:K2"/>
    <mergeCell ref="B2:E2"/>
    <mergeCell ref="O2:Q2"/>
    <mergeCell ref="A1:N1"/>
  </mergeCells>
  <conditionalFormatting sqref="O4:O40">
    <cfRule type="cellIs" dxfId="8" priority="9" operator="equal">
      <formula>"Critical Learning Outcome"</formula>
    </cfRule>
    <cfRule type="cellIs" dxfId="7" priority="10" operator="equal">
      <formula>"Weak Learning Outcome"</formula>
    </cfRule>
    <cfRule type="cellIs" dxfId="6" priority="12" operator="equal">
      <formula>"Moderate Learning Outcome"</formula>
    </cfRule>
  </conditionalFormatting>
  <conditionalFormatting sqref="O9">
    <cfRule type="cellIs" dxfId="5" priority="8" operator="equal">
      <formula>"Strong Learning Outcome"</formula>
    </cfRule>
  </conditionalFormatting>
  <conditionalFormatting sqref="O14:O40">
    <cfRule type="cellIs" dxfId="4" priority="11" operator="equal">
      <formula>"Strong Learning Outcome"</formula>
    </cfRule>
  </conditionalFormatting>
  <conditionalFormatting sqref="P4:P40">
    <cfRule type="cellIs" dxfId="3" priority="1" operator="equal">
      <formula>"Critical Infrastructure"</formula>
    </cfRule>
    <cfRule type="cellIs" dxfId="2" priority="2" operator="equal">
      <formula>"Weak Infrastructure"</formula>
    </cfRule>
    <cfRule type="cellIs" dxfId="1" priority="3" operator="equal">
      <formula>"Moderate Infrastructure"</formula>
    </cfRule>
    <cfRule type="cellIs" dxfId="0" priority="4" operator="equal">
      <formula>"High Infrastructure"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CCFE-07EB-4EC1-BB99-45D5A8758FAC}">
  <dimension ref="A1:Z38"/>
  <sheetViews>
    <sheetView tabSelected="1" workbookViewId="0">
      <selection activeCell="H20" sqref="H20"/>
    </sheetView>
  </sheetViews>
  <sheetFormatPr defaultRowHeight="14.4" x14ac:dyDescent="0.3"/>
  <cols>
    <col min="1" max="1" width="21.109375" bestFit="1" customWidth="1"/>
    <col min="4" max="4" width="16.109375" bestFit="1" customWidth="1"/>
    <col min="6" max="6" width="21.6640625" bestFit="1" customWidth="1"/>
    <col min="7" max="7" width="17.6640625" bestFit="1" customWidth="1"/>
    <col min="8" max="8" width="148.33203125" bestFit="1" customWidth="1"/>
  </cols>
  <sheetData>
    <row r="1" spans="1:26" x14ac:dyDescent="0.3">
      <c r="A1" s="3" t="s">
        <v>1</v>
      </c>
      <c r="B1" s="3" t="s">
        <v>3</v>
      </c>
      <c r="C1" s="3" t="s">
        <v>5</v>
      </c>
      <c r="D1" s="50" t="s">
        <v>6</v>
      </c>
      <c r="E1" s="3" t="s">
        <v>7</v>
      </c>
      <c r="F1" s="3" t="s">
        <v>18</v>
      </c>
      <c r="G1" s="3" t="s">
        <v>19</v>
      </c>
      <c r="H1" s="3" t="s">
        <v>21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10" t="s">
        <v>22</v>
      </c>
      <c r="B2" s="10">
        <v>277.89999999999998</v>
      </c>
      <c r="C2" s="10">
        <v>85.8</v>
      </c>
      <c r="D2" s="10">
        <v>67.67</v>
      </c>
      <c r="E2" s="10">
        <v>6</v>
      </c>
      <c r="F2" s="10" t="s">
        <v>86</v>
      </c>
      <c r="G2" s="10" t="s">
        <v>90</v>
      </c>
      <c r="H2" s="33" t="s">
        <v>23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3">
      <c r="A3" s="15" t="s">
        <v>24</v>
      </c>
      <c r="B3" s="15">
        <v>268.8</v>
      </c>
      <c r="C3" s="15">
        <v>77.3</v>
      </c>
      <c r="D3" s="15">
        <v>63.18</v>
      </c>
      <c r="E3" s="15">
        <v>20</v>
      </c>
      <c r="F3" s="15" t="s">
        <v>87</v>
      </c>
      <c r="G3" s="15" t="s">
        <v>90</v>
      </c>
      <c r="H3" s="34" t="s">
        <v>25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3">
      <c r="A4" s="10" t="s">
        <v>26</v>
      </c>
      <c r="B4" s="10">
        <v>268.60000000000002</v>
      </c>
      <c r="C4" s="10">
        <v>63.1</v>
      </c>
      <c r="D4" s="10">
        <v>57.47</v>
      </c>
      <c r="E4" s="10">
        <v>36</v>
      </c>
      <c r="F4" s="10" t="s">
        <v>87</v>
      </c>
      <c r="G4" s="10" t="s">
        <v>91</v>
      </c>
      <c r="H4" s="35" t="s">
        <v>27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3">
      <c r="A5" s="15" t="s">
        <v>28</v>
      </c>
      <c r="B5" s="15">
        <v>277.60000000000002</v>
      </c>
      <c r="C5" s="15">
        <v>68.5</v>
      </c>
      <c r="D5" s="15">
        <v>60.71</v>
      </c>
      <c r="E5" s="15">
        <v>30</v>
      </c>
      <c r="F5" s="15" t="s">
        <v>86</v>
      </c>
      <c r="G5" s="15" t="s">
        <v>92</v>
      </c>
      <c r="H5" s="36" t="s">
        <v>29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3">
      <c r="A6" s="10" t="s">
        <v>30</v>
      </c>
      <c r="B6" s="10">
        <v>273.39999999999998</v>
      </c>
      <c r="C6" s="10">
        <v>67.7</v>
      </c>
      <c r="D6" s="10">
        <v>59.89</v>
      </c>
      <c r="E6" s="10">
        <v>32</v>
      </c>
      <c r="F6" s="10" t="s">
        <v>87</v>
      </c>
      <c r="G6" s="10" t="s">
        <v>92</v>
      </c>
      <c r="H6" s="35" t="s">
        <v>27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3">
      <c r="A7" s="15" t="s">
        <v>31</v>
      </c>
      <c r="B7" s="15">
        <v>302.7</v>
      </c>
      <c r="C7" s="15">
        <v>95.5</v>
      </c>
      <c r="D7" s="15">
        <v>74.52</v>
      </c>
      <c r="E7" s="15">
        <v>1</v>
      </c>
      <c r="F7" s="15" t="s">
        <v>88</v>
      </c>
      <c r="G7" s="15" t="s">
        <v>93</v>
      </c>
      <c r="H7" s="32" t="s">
        <v>32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3">
      <c r="A8" s="10" t="s">
        <v>33</v>
      </c>
      <c r="B8" s="10">
        <v>259.60000000000002</v>
      </c>
      <c r="C8" s="10">
        <v>75.7</v>
      </c>
      <c r="D8" s="10">
        <v>61.43</v>
      </c>
      <c r="E8" s="10">
        <v>26</v>
      </c>
      <c r="F8" s="10" t="s">
        <v>89</v>
      </c>
      <c r="G8" s="10" t="s">
        <v>92</v>
      </c>
      <c r="H8" s="37" t="s">
        <v>34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3">
      <c r="A9" s="15" t="s">
        <v>35</v>
      </c>
      <c r="B9" s="15">
        <v>258.8</v>
      </c>
      <c r="C9" s="15">
        <v>87.4</v>
      </c>
      <c r="D9" s="15">
        <v>66.02</v>
      </c>
      <c r="E9" s="15">
        <v>12</v>
      </c>
      <c r="F9" s="15" t="s">
        <v>89</v>
      </c>
      <c r="G9" s="15" t="s">
        <v>90</v>
      </c>
      <c r="H9" s="38" t="s">
        <v>36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3">
      <c r="A10" s="10" t="s">
        <v>37</v>
      </c>
      <c r="B10" s="10">
        <v>269</v>
      </c>
      <c r="C10" s="10">
        <v>87.4</v>
      </c>
      <c r="D10" s="10">
        <v>67.239999999999995</v>
      </c>
      <c r="E10" s="10">
        <v>9</v>
      </c>
      <c r="F10" s="10" t="s">
        <v>87</v>
      </c>
      <c r="G10" s="10" t="s">
        <v>90</v>
      </c>
      <c r="H10" s="34" t="s">
        <v>25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3">
      <c r="A11" s="15" t="s">
        <v>38</v>
      </c>
      <c r="B11" s="15">
        <v>277.39999999999998</v>
      </c>
      <c r="C11" s="15">
        <v>85.2</v>
      </c>
      <c r="D11" s="15">
        <v>67.37</v>
      </c>
      <c r="E11" s="15">
        <v>8</v>
      </c>
      <c r="F11" s="15" t="s">
        <v>86</v>
      </c>
      <c r="G11" s="15" t="s">
        <v>90</v>
      </c>
      <c r="H11" s="33" t="s">
        <v>23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3">
      <c r="A12" s="10" t="s">
        <v>39</v>
      </c>
      <c r="B12" s="10">
        <v>280.39999999999998</v>
      </c>
      <c r="C12" s="10">
        <v>83.7</v>
      </c>
      <c r="D12" s="10">
        <v>67.13</v>
      </c>
      <c r="E12" s="10">
        <v>10</v>
      </c>
      <c r="F12" s="10" t="s">
        <v>86</v>
      </c>
      <c r="G12" s="10" t="s">
        <v>90</v>
      </c>
      <c r="H12" s="33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3">
      <c r="A13" s="15" t="s">
        <v>40</v>
      </c>
      <c r="B13" s="15">
        <v>278.7</v>
      </c>
      <c r="C13" s="15">
        <v>81.2</v>
      </c>
      <c r="D13" s="15">
        <v>65.92</v>
      </c>
      <c r="E13" s="15">
        <v>13</v>
      </c>
      <c r="F13" s="15" t="s">
        <v>86</v>
      </c>
      <c r="G13" s="15" t="s">
        <v>90</v>
      </c>
      <c r="H13" s="33" t="s">
        <v>23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3">
      <c r="A14" s="10" t="s">
        <v>41</v>
      </c>
      <c r="B14" s="10">
        <v>286.10000000000002</v>
      </c>
      <c r="C14" s="10">
        <v>82.7</v>
      </c>
      <c r="D14" s="10">
        <v>67.41</v>
      </c>
      <c r="E14" s="10">
        <v>7</v>
      </c>
      <c r="F14" s="10" t="s">
        <v>86</v>
      </c>
      <c r="G14" s="10" t="s">
        <v>90</v>
      </c>
      <c r="H14" s="33" t="s">
        <v>23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3">
      <c r="A15" s="15" t="s">
        <v>42</v>
      </c>
      <c r="B15" s="15">
        <v>274.2</v>
      </c>
      <c r="C15" s="15">
        <v>79.900000000000006</v>
      </c>
      <c r="D15" s="15">
        <v>64.86</v>
      </c>
      <c r="E15" s="15">
        <v>16</v>
      </c>
      <c r="F15" s="15" t="s">
        <v>87</v>
      </c>
      <c r="G15" s="15" t="s">
        <v>90</v>
      </c>
      <c r="H15" s="34" t="s">
        <v>25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3">
      <c r="A16" s="10" t="s">
        <v>43</v>
      </c>
      <c r="B16" s="10">
        <v>286</v>
      </c>
      <c r="C16" s="10">
        <v>66.900000000000006</v>
      </c>
      <c r="D16" s="10">
        <v>61.08</v>
      </c>
      <c r="E16" s="10">
        <v>28</v>
      </c>
      <c r="F16" s="10" t="s">
        <v>86</v>
      </c>
      <c r="G16" s="10" t="s">
        <v>92</v>
      </c>
      <c r="H16" s="36" t="s">
        <v>29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3">
      <c r="A17" s="15" t="s">
        <v>44</v>
      </c>
      <c r="B17" s="15">
        <v>272.3</v>
      </c>
      <c r="C17" s="15">
        <v>73.900000000000006</v>
      </c>
      <c r="D17" s="15">
        <v>62.24</v>
      </c>
      <c r="E17" s="15">
        <v>24</v>
      </c>
      <c r="F17" s="15" t="s">
        <v>87</v>
      </c>
      <c r="G17" s="15" t="s">
        <v>92</v>
      </c>
      <c r="H17" s="35" t="s">
        <v>27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3">
      <c r="A18" s="10" t="s">
        <v>45</v>
      </c>
      <c r="B18" s="10">
        <v>275.89999999999998</v>
      </c>
      <c r="C18" s="10">
        <v>77.900000000000006</v>
      </c>
      <c r="D18" s="10">
        <v>64.27</v>
      </c>
      <c r="E18" s="10">
        <v>17</v>
      </c>
      <c r="F18" s="10" t="s">
        <v>87</v>
      </c>
      <c r="G18" s="10" t="s">
        <v>90</v>
      </c>
      <c r="H18" s="34" t="s">
        <v>25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3">
      <c r="A19" s="15" t="s">
        <v>46</v>
      </c>
      <c r="B19" s="15">
        <v>281.60000000000002</v>
      </c>
      <c r="C19" s="15">
        <v>94.1</v>
      </c>
      <c r="D19" s="15">
        <v>71.430000000000007</v>
      </c>
      <c r="E19" s="15">
        <v>3</v>
      </c>
      <c r="F19" s="15" t="s">
        <v>86</v>
      </c>
      <c r="G19" s="15" t="s">
        <v>93</v>
      </c>
      <c r="H19" s="33" t="s">
        <v>23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3">
      <c r="A20" s="10" t="s">
        <v>47</v>
      </c>
      <c r="B20" s="10">
        <v>275.10000000000002</v>
      </c>
      <c r="C20" s="10">
        <v>75.400000000000006</v>
      </c>
      <c r="D20" s="10">
        <v>63.17</v>
      </c>
      <c r="E20" s="10">
        <v>21</v>
      </c>
      <c r="F20" s="10" t="s">
        <v>87</v>
      </c>
      <c r="G20" s="10" t="s">
        <v>92</v>
      </c>
      <c r="H20" s="35" t="s">
        <v>27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3">
      <c r="A21" s="15" t="s">
        <v>48</v>
      </c>
      <c r="B21" s="15">
        <v>271.2</v>
      </c>
      <c r="C21" s="15">
        <v>95.3</v>
      </c>
      <c r="D21" s="15">
        <v>70.66</v>
      </c>
      <c r="E21" s="15">
        <v>4</v>
      </c>
      <c r="F21" s="15" t="s">
        <v>87</v>
      </c>
      <c r="G21" s="15" t="s">
        <v>93</v>
      </c>
      <c r="H21" s="34" t="s">
        <v>25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3">
      <c r="A22" s="10" t="s">
        <v>49</v>
      </c>
      <c r="B22" s="10">
        <v>284.2</v>
      </c>
      <c r="C22" s="10">
        <v>71.2</v>
      </c>
      <c r="D22" s="10">
        <v>62.58</v>
      </c>
      <c r="E22" s="10">
        <v>23</v>
      </c>
      <c r="F22" s="10" t="s">
        <v>86</v>
      </c>
      <c r="G22" s="10" t="s">
        <v>92</v>
      </c>
      <c r="H22" s="36" t="s">
        <v>29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s="15" t="s">
        <v>50</v>
      </c>
      <c r="B23" s="15">
        <v>281.5</v>
      </c>
      <c r="C23" s="15">
        <v>81.900000000000006</v>
      </c>
      <c r="D23" s="15">
        <v>66.540000000000006</v>
      </c>
      <c r="E23" s="15">
        <v>11</v>
      </c>
      <c r="F23" s="15" t="s">
        <v>86</v>
      </c>
      <c r="G23" s="15" t="s">
        <v>90</v>
      </c>
      <c r="H23" s="33" t="s">
        <v>23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3">
      <c r="A24" s="10" t="s">
        <v>51</v>
      </c>
      <c r="B24" s="10">
        <v>283.8</v>
      </c>
      <c r="C24" s="10">
        <v>68.7</v>
      </c>
      <c r="D24" s="10">
        <v>61.54</v>
      </c>
      <c r="E24" s="10">
        <v>25</v>
      </c>
      <c r="F24" s="10" t="s">
        <v>86</v>
      </c>
      <c r="G24" s="10" t="s">
        <v>92</v>
      </c>
      <c r="H24" s="36" t="s">
        <v>29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3">
      <c r="A25" s="15" t="s">
        <v>52</v>
      </c>
      <c r="B25" s="15">
        <v>256.8</v>
      </c>
      <c r="C25" s="15">
        <v>41.4</v>
      </c>
      <c r="D25" s="15">
        <v>47.38</v>
      </c>
      <c r="E25" s="15">
        <v>37</v>
      </c>
      <c r="F25" s="15" t="s">
        <v>89</v>
      </c>
      <c r="G25" s="15" t="s">
        <v>91</v>
      </c>
      <c r="H25" s="37" t="s">
        <v>34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3">
      <c r="A26" s="10" t="s">
        <v>53</v>
      </c>
      <c r="B26" s="10">
        <v>267.10000000000002</v>
      </c>
      <c r="C26" s="10">
        <v>70.2</v>
      </c>
      <c r="D26" s="10">
        <v>60.13</v>
      </c>
      <c r="E26" s="10">
        <v>31</v>
      </c>
      <c r="F26" s="10" t="s">
        <v>87</v>
      </c>
      <c r="G26" s="10" t="s">
        <v>92</v>
      </c>
      <c r="H26" s="35" t="s">
        <v>27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3">
      <c r="A27" s="15" t="s">
        <v>54</v>
      </c>
      <c r="B27" s="15">
        <v>269.89999999999998</v>
      </c>
      <c r="C27" s="15">
        <v>63.5</v>
      </c>
      <c r="D27" s="15">
        <v>57.79</v>
      </c>
      <c r="E27" s="15">
        <v>35</v>
      </c>
      <c r="F27" s="15" t="s">
        <v>87</v>
      </c>
      <c r="G27" s="15" t="s">
        <v>91</v>
      </c>
      <c r="H27" s="35" t="s">
        <v>27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3">
      <c r="A28" s="10" t="s">
        <v>55</v>
      </c>
      <c r="B28" s="10">
        <v>278.39999999999998</v>
      </c>
      <c r="C28" s="10">
        <v>69.900000000000006</v>
      </c>
      <c r="D28" s="10">
        <v>61.37</v>
      </c>
      <c r="E28" s="10">
        <v>27</v>
      </c>
      <c r="F28" s="10" t="s">
        <v>86</v>
      </c>
      <c r="G28" s="10" t="s">
        <v>92</v>
      </c>
      <c r="H28" s="36" t="s">
        <v>29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3">
      <c r="A29" s="15" t="s">
        <v>56</v>
      </c>
      <c r="B29" s="15">
        <v>284.7</v>
      </c>
      <c r="C29" s="15">
        <v>88.9</v>
      </c>
      <c r="D29" s="15">
        <v>69.72</v>
      </c>
      <c r="E29" s="15">
        <v>5</v>
      </c>
      <c r="F29" s="15" t="s">
        <v>86</v>
      </c>
      <c r="G29" s="15" t="s">
        <v>93</v>
      </c>
      <c r="H29" s="33" t="s">
        <v>23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3">
      <c r="A30" s="10" t="s">
        <v>57</v>
      </c>
      <c r="B30" s="10">
        <v>313</v>
      </c>
      <c r="C30" s="10">
        <v>88.8</v>
      </c>
      <c r="D30" s="10">
        <v>73.08</v>
      </c>
      <c r="E30" s="10">
        <v>2</v>
      </c>
      <c r="F30" s="10" t="s">
        <v>88</v>
      </c>
      <c r="G30" s="10" t="s">
        <v>93</v>
      </c>
      <c r="H30" s="32" t="s">
        <v>32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3">
      <c r="A31" s="15" t="s">
        <v>58</v>
      </c>
      <c r="B31" s="15">
        <v>299.5</v>
      </c>
      <c r="C31" s="15">
        <v>74.8</v>
      </c>
      <c r="D31" s="15">
        <v>65.86</v>
      </c>
      <c r="E31" s="15">
        <v>14</v>
      </c>
      <c r="F31" s="15" t="s">
        <v>88</v>
      </c>
      <c r="G31" s="15" t="s">
        <v>92</v>
      </c>
      <c r="H31" s="39" t="s">
        <v>59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3">
      <c r="A32" s="10" t="s">
        <v>60</v>
      </c>
      <c r="B32" s="10">
        <v>273</v>
      </c>
      <c r="C32" s="10">
        <v>81.900000000000006</v>
      </c>
      <c r="D32" s="10">
        <v>65.52</v>
      </c>
      <c r="E32" s="10">
        <v>15</v>
      </c>
      <c r="F32" s="10" t="s">
        <v>87</v>
      </c>
      <c r="G32" s="10" t="s">
        <v>90</v>
      </c>
      <c r="H32" s="34" t="s">
        <v>25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3">
      <c r="A33" s="15" t="s">
        <v>61</v>
      </c>
      <c r="B33" s="15">
        <v>267.7</v>
      </c>
      <c r="C33" s="15">
        <v>79.099999999999994</v>
      </c>
      <c r="D33" s="15">
        <v>63.76</v>
      </c>
      <c r="E33" s="15">
        <v>18</v>
      </c>
      <c r="F33" s="15" t="s">
        <v>87</v>
      </c>
      <c r="G33" s="15" t="s">
        <v>90</v>
      </c>
      <c r="H33" s="34" t="s">
        <v>25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3">
      <c r="A34" s="10" t="s">
        <v>62</v>
      </c>
      <c r="B34" s="10">
        <v>259.89999999999998</v>
      </c>
      <c r="C34" s="10">
        <v>71.400000000000006</v>
      </c>
      <c r="D34" s="10">
        <v>59.75</v>
      </c>
      <c r="E34" s="10">
        <v>33</v>
      </c>
      <c r="F34" s="10" t="s">
        <v>89</v>
      </c>
      <c r="G34" s="10" t="s">
        <v>92</v>
      </c>
      <c r="H34" s="37" t="s">
        <v>34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3">
      <c r="A35" s="15" t="s">
        <v>63</v>
      </c>
      <c r="B35" s="15">
        <v>271</v>
      </c>
      <c r="C35" s="15">
        <v>63.7</v>
      </c>
      <c r="D35" s="15">
        <v>58</v>
      </c>
      <c r="E35" s="15">
        <v>34</v>
      </c>
      <c r="F35" s="15" t="s">
        <v>87</v>
      </c>
      <c r="G35" s="15" t="s">
        <v>91</v>
      </c>
      <c r="H35" s="35" t="s">
        <v>27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3">
      <c r="A36" s="10" t="s">
        <v>64</v>
      </c>
      <c r="B36" s="10">
        <v>267</v>
      </c>
      <c r="C36" s="10">
        <v>72.3</v>
      </c>
      <c r="D36" s="10">
        <v>60.96</v>
      </c>
      <c r="E36" s="10">
        <v>29</v>
      </c>
      <c r="F36" s="10" t="s">
        <v>87</v>
      </c>
      <c r="G36" s="10" t="s">
        <v>92</v>
      </c>
      <c r="H36" s="35" t="s">
        <v>27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3">
      <c r="A37" s="15" t="s">
        <v>65</v>
      </c>
      <c r="B37" s="15">
        <v>272.7</v>
      </c>
      <c r="C37" s="15">
        <v>75.400000000000006</v>
      </c>
      <c r="D37" s="15">
        <v>62.88</v>
      </c>
      <c r="E37" s="15">
        <v>22</v>
      </c>
      <c r="F37" s="15" t="s">
        <v>87</v>
      </c>
      <c r="G37" s="15" t="s">
        <v>92</v>
      </c>
      <c r="H37" s="35" t="s">
        <v>27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3">
      <c r="A38" s="10" t="s">
        <v>66</v>
      </c>
      <c r="B38" s="10">
        <v>283.60000000000002</v>
      </c>
      <c r="C38" s="10">
        <v>74</v>
      </c>
      <c r="D38" s="10">
        <v>63.63</v>
      </c>
      <c r="E38" s="10">
        <v>19</v>
      </c>
      <c r="F38" s="10" t="s">
        <v>86</v>
      </c>
      <c r="G38" s="10" t="s">
        <v>92</v>
      </c>
      <c r="H38" s="36" t="s">
        <v>29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6"/>
  <sheetViews>
    <sheetView workbookViewId="0">
      <pane ySplit="1" topLeftCell="A103" activePane="bottomLeft" state="frozen"/>
      <selection pane="bottomLeft"/>
    </sheetView>
  </sheetViews>
  <sheetFormatPr defaultRowHeight="14.4" x14ac:dyDescent="0.3"/>
  <cols>
    <col min="1" max="1" width="28" customWidth="1"/>
    <col min="2" max="2" width="12" customWidth="1"/>
    <col min="3" max="3" width="25" customWidth="1"/>
    <col min="4" max="4" width="14" customWidth="1"/>
  </cols>
  <sheetData>
    <row r="1" spans="1:4" ht="19.95" customHeight="1" x14ac:dyDescent="0.3">
      <c r="A1" s="17" t="s">
        <v>1</v>
      </c>
      <c r="B1" s="17" t="s">
        <v>67</v>
      </c>
      <c r="C1" s="17" t="s">
        <v>68</v>
      </c>
      <c r="D1" s="17" t="s">
        <v>69</v>
      </c>
    </row>
    <row r="2" spans="1:4" ht="15" customHeight="1" x14ac:dyDescent="0.3">
      <c r="A2" s="10" t="s">
        <v>22</v>
      </c>
      <c r="B2" s="18" t="s">
        <v>9</v>
      </c>
      <c r="C2" s="11" t="s">
        <v>70</v>
      </c>
      <c r="D2" s="11">
        <v>323</v>
      </c>
    </row>
    <row r="3" spans="1:4" ht="15" customHeight="1" x14ac:dyDescent="0.3">
      <c r="A3" s="15" t="s">
        <v>22</v>
      </c>
      <c r="B3" s="18" t="s">
        <v>9</v>
      </c>
      <c r="C3" s="16" t="s">
        <v>71</v>
      </c>
      <c r="D3" s="16">
        <v>290</v>
      </c>
    </row>
    <row r="4" spans="1:4" ht="15" customHeight="1" x14ac:dyDescent="0.3">
      <c r="A4" s="10" t="s">
        <v>22</v>
      </c>
      <c r="B4" s="18" t="s">
        <v>9</v>
      </c>
      <c r="C4" s="11" t="s">
        <v>72</v>
      </c>
      <c r="D4" s="11">
        <v>302</v>
      </c>
    </row>
    <row r="5" spans="1:4" ht="15" customHeight="1" x14ac:dyDescent="0.3">
      <c r="A5" s="15" t="s">
        <v>22</v>
      </c>
      <c r="B5" s="19" t="s">
        <v>10</v>
      </c>
      <c r="C5" s="16" t="s">
        <v>70</v>
      </c>
      <c r="D5" s="16">
        <v>311</v>
      </c>
    </row>
    <row r="6" spans="1:4" ht="15" customHeight="1" x14ac:dyDescent="0.3">
      <c r="A6" s="10" t="s">
        <v>22</v>
      </c>
      <c r="B6" s="19" t="s">
        <v>10</v>
      </c>
      <c r="C6" s="11" t="s">
        <v>71</v>
      </c>
      <c r="D6" s="11">
        <v>278</v>
      </c>
    </row>
    <row r="7" spans="1:4" ht="15" customHeight="1" x14ac:dyDescent="0.3">
      <c r="A7" s="15" t="s">
        <v>22</v>
      </c>
      <c r="B7" s="19" t="s">
        <v>10</v>
      </c>
      <c r="C7" s="16" t="s">
        <v>72</v>
      </c>
      <c r="D7" s="16">
        <v>283</v>
      </c>
    </row>
    <row r="8" spans="1:4" ht="15" customHeight="1" x14ac:dyDescent="0.3">
      <c r="A8" s="10" t="s">
        <v>22</v>
      </c>
      <c r="B8" s="20" t="s">
        <v>11</v>
      </c>
      <c r="C8" s="11" t="s">
        <v>70</v>
      </c>
      <c r="D8" s="11">
        <v>307</v>
      </c>
    </row>
    <row r="9" spans="1:4" ht="15" customHeight="1" x14ac:dyDescent="0.3">
      <c r="A9" s="15" t="s">
        <v>22</v>
      </c>
      <c r="B9" s="20" t="s">
        <v>11</v>
      </c>
      <c r="C9" s="16" t="s">
        <v>71</v>
      </c>
      <c r="D9" s="16">
        <v>247</v>
      </c>
    </row>
    <row r="10" spans="1:4" ht="15" customHeight="1" x14ac:dyDescent="0.3">
      <c r="A10" s="10" t="s">
        <v>22</v>
      </c>
      <c r="B10" s="20" t="s">
        <v>11</v>
      </c>
      <c r="C10" s="11" t="s">
        <v>73</v>
      </c>
      <c r="D10" s="11">
        <v>254</v>
      </c>
    </row>
    <row r="11" spans="1:4" ht="15" customHeight="1" x14ac:dyDescent="0.3">
      <c r="A11" s="15" t="s">
        <v>22</v>
      </c>
      <c r="B11" s="20" t="s">
        <v>11</v>
      </c>
      <c r="C11" s="16" t="s">
        <v>74</v>
      </c>
      <c r="D11" s="16">
        <v>246</v>
      </c>
    </row>
    <row r="12" spans="1:4" ht="15" customHeight="1" x14ac:dyDescent="0.3">
      <c r="A12" s="10" t="s">
        <v>22</v>
      </c>
      <c r="B12" s="21" t="s">
        <v>12</v>
      </c>
      <c r="C12" s="11" t="s">
        <v>75</v>
      </c>
      <c r="D12" s="11">
        <v>255</v>
      </c>
    </row>
    <row r="13" spans="1:4" ht="15" customHeight="1" x14ac:dyDescent="0.3">
      <c r="A13" s="15" t="s">
        <v>22</v>
      </c>
      <c r="B13" s="21" t="s">
        <v>12</v>
      </c>
      <c r="C13" s="16" t="s">
        <v>71</v>
      </c>
      <c r="D13" s="16">
        <v>224</v>
      </c>
    </row>
    <row r="14" spans="1:4" ht="15" customHeight="1" x14ac:dyDescent="0.3">
      <c r="A14" s="10" t="s">
        <v>22</v>
      </c>
      <c r="B14" s="21" t="s">
        <v>12</v>
      </c>
      <c r="C14" s="11" t="s">
        <v>73</v>
      </c>
      <c r="D14" s="11">
        <v>229</v>
      </c>
    </row>
    <row r="15" spans="1:4" ht="15" customHeight="1" x14ac:dyDescent="0.3">
      <c r="A15" s="15" t="s">
        <v>22</v>
      </c>
      <c r="B15" s="21" t="s">
        <v>12</v>
      </c>
      <c r="C15" s="16" t="s">
        <v>74</v>
      </c>
      <c r="D15" s="16">
        <v>245</v>
      </c>
    </row>
    <row r="16" spans="1:4" ht="15" customHeight="1" x14ac:dyDescent="0.3">
      <c r="A16" s="10" t="s">
        <v>22</v>
      </c>
      <c r="B16" s="21" t="s">
        <v>12</v>
      </c>
      <c r="C16" s="11" t="s">
        <v>76</v>
      </c>
      <c r="D16" s="11">
        <v>310</v>
      </c>
    </row>
    <row r="17" spans="1:4" ht="15" customHeight="1" x14ac:dyDescent="0.3">
      <c r="A17" s="15" t="s">
        <v>24</v>
      </c>
      <c r="B17" s="18" t="s">
        <v>9</v>
      </c>
      <c r="C17" s="16" t="s">
        <v>70</v>
      </c>
      <c r="D17" s="16">
        <v>311</v>
      </c>
    </row>
    <row r="18" spans="1:4" ht="15" customHeight="1" x14ac:dyDescent="0.3">
      <c r="A18" s="10" t="s">
        <v>24</v>
      </c>
      <c r="B18" s="18" t="s">
        <v>9</v>
      </c>
      <c r="C18" s="11" t="s">
        <v>71</v>
      </c>
      <c r="D18" s="11">
        <v>298</v>
      </c>
    </row>
    <row r="19" spans="1:4" ht="15" customHeight="1" x14ac:dyDescent="0.3">
      <c r="A19" s="15" t="s">
        <v>24</v>
      </c>
      <c r="B19" s="18" t="s">
        <v>9</v>
      </c>
      <c r="C19" s="16" t="s">
        <v>72</v>
      </c>
      <c r="D19" s="16">
        <v>298</v>
      </c>
    </row>
    <row r="20" spans="1:4" ht="15" customHeight="1" x14ac:dyDescent="0.3">
      <c r="A20" s="10" t="s">
        <v>24</v>
      </c>
      <c r="B20" s="19" t="s">
        <v>10</v>
      </c>
      <c r="C20" s="11" t="s">
        <v>70</v>
      </c>
      <c r="D20" s="11">
        <v>294</v>
      </c>
    </row>
    <row r="21" spans="1:4" ht="15" customHeight="1" x14ac:dyDescent="0.3">
      <c r="A21" s="15" t="s">
        <v>24</v>
      </c>
      <c r="B21" s="19" t="s">
        <v>10</v>
      </c>
      <c r="C21" s="16" t="s">
        <v>71</v>
      </c>
      <c r="D21" s="16">
        <v>275</v>
      </c>
    </row>
    <row r="22" spans="1:4" ht="15" customHeight="1" x14ac:dyDescent="0.3">
      <c r="A22" s="10" t="s">
        <v>24</v>
      </c>
      <c r="B22" s="19" t="s">
        <v>10</v>
      </c>
      <c r="C22" s="11" t="s">
        <v>72</v>
      </c>
      <c r="D22" s="11">
        <v>270</v>
      </c>
    </row>
    <row r="23" spans="1:4" ht="15" customHeight="1" x14ac:dyDescent="0.3">
      <c r="A23" s="15" t="s">
        <v>24</v>
      </c>
      <c r="B23" s="20" t="s">
        <v>11</v>
      </c>
      <c r="C23" s="16" t="s">
        <v>70</v>
      </c>
      <c r="D23" s="16">
        <v>292</v>
      </c>
    </row>
    <row r="24" spans="1:4" ht="15" customHeight="1" x14ac:dyDescent="0.3">
      <c r="A24" s="10" t="s">
        <v>24</v>
      </c>
      <c r="B24" s="20" t="s">
        <v>11</v>
      </c>
      <c r="C24" s="11" t="s">
        <v>71</v>
      </c>
      <c r="D24" s="11">
        <v>250</v>
      </c>
    </row>
    <row r="25" spans="1:4" ht="15" customHeight="1" x14ac:dyDescent="0.3">
      <c r="A25" s="15" t="s">
        <v>24</v>
      </c>
      <c r="B25" s="20" t="s">
        <v>11</v>
      </c>
      <c r="C25" s="16" t="s">
        <v>73</v>
      </c>
      <c r="D25" s="16">
        <v>237</v>
      </c>
    </row>
    <row r="26" spans="1:4" ht="15" customHeight="1" x14ac:dyDescent="0.3">
      <c r="A26" s="10" t="s">
        <v>24</v>
      </c>
      <c r="B26" s="20" t="s">
        <v>11</v>
      </c>
      <c r="C26" s="11" t="s">
        <v>74</v>
      </c>
      <c r="D26" s="11">
        <v>239</v>
      </c>
    </row>
    <row r="27" spans="1:4" ht="15" customHeight="1" x14ac:dyDescent="0.3">
      <c r="A27" s="15" t="s">
        <v>24</v>
      </c>
      <c r="B27" s="21" t="s">
        <v>12</v>
      </c>
      <c r="C27" s="16" t="s">
        <v>75</v>
      </c>
      <c r="D27" s="16">
        <v>252</v>
      </c>
    </row>
    <row r="28" spans="1:4" ht="15" customHeight="1" x14ac:dyDescent="0.3">
      <c r="A28" s="10" t="s">
        <v>24</v>
      </c>
      <c r="B28" s="21" t="s">
        <v>12</v>
      </c>
      <c r="C28" s="11" t="s">
        <v>71</v>
      </c>
      <c r="D28" s="11">
        <v>217</v>
      </c>
    </row>
    <row r="29" spans="1:4" ht="15" customHeight="1" x14ac:dyDescent="0.3">
      <c r="A29" s="15" t="s">
        <v>24</v>
      </c>
      <c r="B29" s="21" t="s">
        <v>12</v>
      </c>
      <c r="C29" s="16" t="s">
        <v>73</v>
      </c>
      <c r="D29" s="16">
        <v>205</v>
      </c>
    </row>
    <row r="30" spans="1:4" ht="15" customHeight="1" x14ac:dyDescent="0.3">
      <c r="A30" s="10" t="s">
        <v>24</v>
      </c>
      <c r="B30" s="21" t="s">
        <v>12</v>
      </c>
      <c r="C30" s="11" t="s">
        <v>74</v>
      </c>
      <c r="D30" s="11">
        <v>228</v>
      </c>
    </row>
    <row r="31" spans="1:4" ht="15" customHeight="1" x14ac:dyDescent="0.3">
      <c r="A31" s="15" t="s">
        <v>24</v>
      </c>
      <c r="B31" s="21" t="s">
        <v>12</v>
      </c>
      <c r="C31" s="16" t="s">
        <v>76</v>
      </c>
      <c r="D31" s="16">
        <v>291</v>
      </c>
    </row>
    <row r="32" spans="1:4" ht="15" customHeight="1" x14ac:dyDescent="0.3">
      <c r="A32" s="10" t="s">
        <v>26</v>
      </c>
      <c r="B32" s="18" t="s">
        <v>9</v>
      </c>
      <c r="C32" s="11" t="s">
        <v>70</v>
      </c>
      <c r="D32" s="11">
        <v>299</v>
      </c>
    </row>
    <row r="33" spans="1:4" ht="15" customHeight="1" x14ac:dyDescent="0.3">
      <c r="A33" s="15" t="s">
        <v>26</v>
      </c>
      <c r="B33" s="18" t="s">
        <v>9</v>
      </c>
      <c r="C33" s="16" t="s">
        <v>71</v>
      </c>
      <c r="D33" s="16">
        <v>277</v>
      </c>
    </row>
    <row r="34" spans="1:4" ht="15" customHeight="1" x14ac:dyDescent="0.3">
      <c r="A34" s="10" t="s">
        <v>26</v>
      </c>
      <c r="B34" s="18" t="s">
        <v>9</v>
      </c>
      <c r="C34" s="11" t="s">
        <v>72</v>
      </c>
      <c r="D34" s="11">
        <v>286</v>
      </c>
    </row>
    <row r="35" spans="1:4" ht="15" customHeight="1" x14ac:dyDescent="0.3">
      <c r="A35" s="15" t="s">
        <v>26</v>
      </c>
      <c r="B35" s="19" t="s">
        <v>10</v>
      </c>
      <c r="C35" s="16" t="s">
        <v>70</v>
      </c>
      <c r="D35" s="16">
        <v>300</v>
      </c>
    </row>
    <row r="36" spans="1:4" ht="15" customHeight="1" x14ac:dyDescent="0.3">
      <c r="A36" s="10" t="s">
        <v>26</v>
      </c>
      <c r="B36" s="19" t="s">
        <v>10</v>
      </c>
      <c r="C36" s="11" t="s">
        <v>71</v>
      </c>
      <c r="D36" s="11">
        <v>268</v>
      </c>
    </row>
    <row r="37" spans="1:4" ht="15" customHeight="1" x14ac:dyDescent="0.3">
      <c r="A37" s="15" t="s">
        <v>26</v>
      </c>
      <c r="B37" s="19" t="s">
        <v>10</v>
      </c>
      <c r="C37" s="16" t="s">
        <v>72</v>
      </c>
      <c r="D37" s="16">
        <v>271</v>
      </c>
    </row>
    <row r="38" spans="1:4" ht="15" customHeight="1" x14ac:dyDescent="0.3">
      <c r="A38" s="10" t="s">
        <v>26</v>
      </c>
      <c r="B38" s="20" t="s">
        <v>11</v>
      </c>
      <c r="C38" s="11" t="s">
        <v>70</v>
      </c>
      <c r="D38" s="11">
        <v>308</v>
      </c>
    </row>
    <row r="39" spans="1:4" ht="15" customHeight="1" x14ac:dyDescent="0.3">
      <c r="A39" s="15" t="s">
        <v>26</v>
      </c>
      <c r="B39" s="20" t="s">
        <v>11</v>
      </c>
      <c r="C39" s="16" t="s">
        <v>71</v>
      </c>
      <c r="D39" s="16">
        <v>242</v>
      </c>
    </row>
    <row r="40" spans="1:4" ht="15" customHeight="1" x14ac:dyDescent="0.3">
      <c r="A40" s="10" t="s">
        <v>26</v>
      </c>
      <c r="B40" s="20" t="s">
        <v>11</v>
      </c>
      <c r="C40" s="11" t="s">
        <v>73</v>
      </c>
      <c r="D40" s="11">
        <v>249</v>
      </c>
    </row>
    <row r="41" spans="1:4" ht="15" customHeight="1" x14ac:dyDescent="0.3">
      <c r="A41" s="15" t="s">
        <v>26</v>
      </c>
      <c r="B41" s="20" t="s">
        <v>11</v>
      </c>
      <c r="C41" s="16" t="s">
        <v>74</v>
      </c>
      <c r="D41" s="16">
        <v>249</v>
      </c>
    </row>
    <row r="42" spans="1:4" ht="15" customHeight="1" x14ac:dyDescent="0.3">
      <c r="A42" s="10" t="s">
        <v>26</v>
      </c>
      <c r="B42" s="21" t="s">
        <v>12</v>
      </c>
      <c r="C42" s="11" t="s">
        <v>75</v>
      </c>
      <c r="D42" s="11">
        <v>240</v>
      </c>
    </row>
    <row r="43" spans="1:4" ht="15" customHeight="1" x14ac:dyDescent="0.3">
      <c r="A43" s="15" t="s">
        <v>26</v>
      </c>
      <c r="B43" s="21" t="s">
        <v>12</v>
      </c>
      <c r="C43" s="16" t="s">
        <v>71</v>
      </c>
      <c r="D43" s="16">
        <v>203</v>
      </c>
    </row>
    <row r="44" spans="1:4" ht="15" customHeight="1" x14ac:dyDescent="0.3">
      <c r="A44" s="10" t="s">
        <v>26</v>
      </c>
      <c r="B44" s="21" t="s">
        <v>12</v>
      </c>
      <c r="C44" s="11" t="s">
        <v>73</v>
      </c>
      <c r="D44" s="11">
        <v>240</v>
      </c>
    </row>
    <row r="45" spans="1:4" ht="15" customHeight="1" x14ac:dyDescent="0.3">
      <c r="A45" s="15" t="s">
        <v>26</v>
      </c>
      <c r="B45" s="21" t="s">
        <v>12</v>
      </c>
      <c r="C45" s="16" t="s">
        <v>74</v>
      </c>
      <c r="D45" s="16">
        <v>240</v>
      </c>
    </row>
    <row r="46" spans="1:4" ht="15" customHeight="1" x14ac:dyDescent="0.3">
      <c r="A46" s="10" t="s">
        <v>26</v>
      </c>
      <c r="B46" s="21" t="s">
        <v>12</v>
      </c>
      <c r="C46" s="11" t="s">
        <v>76</v>
      </c>
      <c r="D46" s="11">
        <v>305</v>
      </c>
    </row>
    <row r="47" spans="1:4" ht="15" customHeight="1" x14ac:dyDescent="0.3">
      <c r="A47" s="15" t="s">
        <v>28</v>
      </c>
      <c r="B47" s="18" t="s">
        <v>9</v>
      </c>
      <c r="C47" s="16" t="s">
        <v>70</v>
      </c>
      <c r="D47" s="16">
        <v>326</v>
      </c>
    </row>
    <row r="48" spans="1:4" ht="15" customHeight="1" x14ac:dyDescent="0.3">
      <c r="A48" s="10" t="s">
        <v>28</v>
      </c>
      <c r="B48" s="18" t="s">
        <v>9</v>
      </c>
      <c r="C48" s="11" t="s">
        <v>71</v>
      </c>
      <c r="D48" s="11">
        <v>314</v>
      </c>
    </row>
    <row r="49" spans="1:4" ht="15" customHeight="1" x14ac:dyDescent="0.3">
      <c r="A49" s="15" t="s">
        <v>28</v>
      </c>
      <c r="B49" s="18" t="s">
        <v>9</v>
      </c>
      <c r="C49" s="16" t="s">
        <v>72</v>
      </c>
      <c r="D49" s="16">
        <v>313</v>
      </c>
    </row>
    <row r="50" spans="1:4" ht="15" customHeight="1" x14ac:dyDescent="0.3">
      <c r="A50" s="10" t="s">
        <v>28</v>
      </c>
      <c r="B50" s="19" t="s">
        <v>10</v>
      </c>
      <c r="C50" s="11" t="s">
        <v>70</v>
      </c>
      <c r="D50" s="11">
        <v>312</v>
      </c>
    </row>
    <row r="51" spans="1:4" ht="15" customHeight="1" x14ac:dyDescent="0.3">
      <c r="A51" s="15" t="s">
        <v>28</v>
      </c>
      <c r="B51" s="19" t="s">
        <v>10</v>
      </c>
      <c r="C51" s="16" t="s">
        <v>71</v>
      </c>
      <c r="D51" s="16">
        <v>291</v>
      </c>
    </row>
    <row r="52" spans="1:4" ht="15" customHeight="1" x14ac:dyDescent="0.3">
      <c r="A52" s="10" t="s">
        <v>28</v>
      </c>
      <c r="B52" s="19" t="s">
        <v>10</v>
      </c>
      <c r="C52" s="11" t="s">
        <v>72</v>
      </c>
      <c r="D52" s="11">
        <v>291</v>
      </c>
    </row>
    <row r="53" spans="1:4" ht="15" customHeight="1" x14ac:dyDescent="0.3">
      <c r="A53" s="15" t="s">
        <v>28</v>
      </c>
      <c r="B53" s="20" t="s">
        <v>11</v>
      </c>
      <c r="C53" s="16" t="s">
        <v>70</v>
      </c>
      <c r="D53" s="16">
        <v>289</v>
      </c>
    </row>
    <row r="54" spans="1:4" ht="15" customHeight="1" x14ac:dyDescent="0.3">
      <c r="A54" s="10" t="s">
        <v>28</v>
      </c>
      <c r="B54" s="20" t="s">
        <v>11</v>
      </c>
      <c r="C54" s="11" t="s">
        <v>71</v>
      </c>
      <c r="D54" s="11">
        <v>255</v>
      </c>
    </row>
    <row r="55" spans="1:4" ht="15" customHeight="1" x14ac:dyDescent="0.3">
      <c r="A55" s="15" t="s">
        <v>28</v>
      </c>
      <c r="B55" s="20" t="s">
        <v>11</v>
      </c>
      <c r="C55" s="16" t="s">
        <v>73</v>
      </c>
      <c r="D55" s="16">
        <v>244</v>
      </c>
    </row>
    <row r="56" spans="1:4" ht="15" customHeight="1" x14ac:dyDescent="0.3">
      <c r="A56" s="10" t="s">
        <v>28</v>
      </c>
      <c r="B56" s="20" t="s">
        <v>11</v>
      </c>
      <c r="C56" s="11" t="s">
        <v>74</v>
      </c>
      <c r="D56" s="11">
        <v>256</v>
      </c>
    </row>
    <row r="57" spans="1:4" ht="15" customHeight="1" x14ac:dyDescent="0.3">
      <c r="A57" s="15" t="s">
        <v>28</v>
      </c>
      <c r="B57" s="21" t="s">
        <v>12</v>
      </c>
      <c r="C57" s="16" t="s">
        <v>75</v>
      </c>
      <c r="D57" s="16">
        <v>250</v>
      </c>
    </row>
    <row r="58" spans="1:4" ht="15" customHeight="1" x14ac:dyDescent="0.3">
      <c r="A58" s="10" t="s">
        <v>28</v>
      </c>
      <c r="B58" s="21" t="s">
        <v>12</v>
      </c>
      <c r="C58" s="11" t="s">
        <v>71</v>
      </c>
      <c r="D58" s="11">
        <v>221</v>
      </c>
    </row>
    <row r="59" spans="1:4" ht="15" customHeight="1" x14ac:dyDescent="0.3">
      <c r="A59" s="15" t="s">
        <v>28</v>
      </c>
      <c r="B59" s="21" t="s">
        <v>12</v>
      </c>
      <c r="C59" s="16" t="s">
        <v>73</v>
      </c>
      <c r="D59" s="16">
        <v>202</v>
      </c>
    </row>
    <row r="60" spans="1:4" ht="15" customHeight="1" x14ac:dyDescent="0.3">
      <c r="A60" s="10" t="s">
        <v>28</v>
      </c>
      <c r="B60" s="21" t="s">
        <v>12</v>
      </c>
      <c r="C60" s="11" t="s">
        <v>74</v>
      </c>
      <c r="D60" s="11">
        <v>226</v>
      </c>
    </row>
    <row r="61" spans="1:4" ht="15" customHeight="1" x14ac:dyDescent="0.3">
      <c r="A61" s="15" t="s">
        <v>28</v>
      </c>
      <c r="B61" s="21" t="s">
        <v>12</v>
      </c>
      <c r="C61" s="16" t="s">
        <v>76</v>
      </c>
      <c r="D61" s="16">
        <v>270</v>
      </c>
    </row>
    <row r="62" spans="1:4" ht="15" customHeight="1" x14ac:dyDescent="0.3">
      <c r="A62" s="10" t="s">
        <v>30</v>
      </c>
      <c r="B62" s="18" t="s">
        <v>9</v>
      </c>
      <c r="C62" s="11" t="s">
        <v>70</v>
      </c>
      <c r="D62" s="11">
        <v>317</v>
      </c>
    </row>
    <row r="63" spans="1:4" ht="15" customHeight="1" x14ac:dyDescent="0.3">
      <c r="A63" s="15" t="s">
        <v>30</v>
      </c>
      <c r="B63" s="18" t="s">
        <v>9</v>
      </c>
      <c r="C63" s="16" t="s">
        <v>71</v>
      </c>
      <c r="D63" s="16">
        <v>304</v>
      </c>
    </row>
    <row r="64" spans="1:4" ht="15" customHeight="1" x14ac:dyDescent="0.3">
      <c r="A64" s="10" t="s">
        <v>30</v>
      </c>
      <c r="B64" s="18" t="s">
        <v>9</v>
      </c>
      <c r="C64" s="11" t="s">
        <v>72</v>
      </c>
      <c r="D64" s="11">
        <v>301</v>
      </c>
    </row>
    <row r="65" spans="1:4" ht="15" customHeight="1" x14ac:dyDescent="0.3">
      <c r="A65" s="15" t="s">
        <v>30</v>
      </c>
      <c r="B65" s="19" t="s">
        <v>10</v>
      </c>
      <c r="C65" s="16" t="s">
        <v>70</v>
      </c>
      <c r="D65" s="16">
        <v>305</v>
      </c>
    </row>
    <row r="66" spans="1:4" ht="15" customHeight="1" x14ac:dyDescent="0.3">
      <c r="A66" s="10" t="s">
        <v>30</v>
      </c>
      <c r="B66" s="19" t="s">
        <v>10</v>
      </c>
      <c r="C66" s="11" t="s">
        <v>71</v>
      </c>
      <c r="D66" s="11">
        <v>283</v>
      </c>
    </row>
    <row r="67" spans="1:4" ht="15" customHeight="1" x14ac:dyDescent="0.3">
      <c r="A67" s="15" t="s">
        <v>30</v>
      </c>
      <c r="B67" s="19" t="s">
        <v>10</v>
      </c>
      <c r="C67" s="16" t="s">
        <v>72</v>
      </c>
      <c r="D67" s="16">
        <v>280</v>
      </c>
    </row>
    <row r="68" spans="1:4" ht="15" customHeight="1" x14ac:dyDescent="0.3">
      <c r="A68" s="10" t="s">
        <v>30</v>
      </c>
      <c r="B68" s="20" t="s">
        <v>11</v>
      </c>
      <c r="C68" s="11" t="s">
        <v>70</v>
      </c>
      <c r="D68" s="11">
        <v>291</v>
      </c>
    </row>
    <row r="69" spans="1:4" ht="15" customHeight="1" x14ac:dyDescent="0.3">
      <c r="A69" s="15" t="s">
        <v>30</v>
      </c>
      <c r="B69" s="20" t="s">
        <v>11</v>
      </c>
      <c r="C69" s="16" t="s">
        <v>71</v>
      </c>
      <c r="D69" s="16">
        <v>262</v>
      </c>
    </row>
    <row r="70" spans="1:4" ht="15" customHeight="1" x14ac:dyDescent="0.3">
      <c r="A70" s="10" t="s">
        <v>30</v>
      </c>
      <c r="B70" s="20" t="s">
        <v>11</v>
      </c>
      <c r="C70" s="11" t="s">
        <v>73</v>
      </c>
      <c r="D70" s="11">
        <v>248</v>
      </c>
    </row>
    <row r="71" spans="1:4" ht="15" customHeight="1" x14ac:dyDescent="0.3">
      <c r="A71" s="15" t="s">
        <v>30</v>
      </c>
      <c r="B71" s="20" t="s">
        <v>11</v>
      </c>
      <c r="C71" s="16" t="s">
        <v>74</v>
      </c>
      <c r="D71" s="16">
        <v>257</v>
      </c>
    </row>
    <row r="72" spans="1:4" ht="15" customHeight="1" x14ac:dyDescent="0.3">
      <c r="A72" s="10" t="s">
        <v>30</v>
      </c>
      <c r="B72" s="21" t="s">
        <v>12</v>
      </c>
      <c r="C72" s="11" t="s">
        <v>75</v>
      </c>
      <c r="D72" s="11">
        <v>250</v>
      </c>
    </row>
    <row r="73" spans="1:4" ht="15" customHeight="1" x14ac:dyDescent="0.3">
      <c r="A73" s="15" t="s">
        <v>30</v>
      </c>
      <c r="B73" s="21" t="s">
        <v>12</v>
      </c>
      <c r="C73" s="16" t="s">
        <v>71</v>
      </c>
      <c r="D73" s="16">
        <v>229</v>
      </c>
    </row>
    <row r="74" spans="1:4" ht="15" customHeight="1" x14ac:dyDescent="0.3">
      <c r="A74" s="10" t="s">
        <v>30</v>
      </c>
      <c r="B74" s="21" t="s">
        <v>12</v>
      </c>
      <c r="C74" s="11" t="s">
        <v>73</v>
      </c>
      <c r="D74" s="11">
        <v>202</v>
      </c>
    </row>
    <row r="75" spans="1:4" ht="15" customHeight="1" x14ac:dyDescent="0.3">
      <c r="A75" s="15" t="s">
        <v>30</v>
      </c>
      <c r="B75" s="21" t="s">
        <v>12</v>
      </c>
      <c r="C75" s="16" t="s">
        <v>74</v>
      </c>
      <c r="D75" s="16">
        <v>222</v>
      </c>
    </row>
    <row r="76" spans="1:4" ht="15" customHeight="1" x14ac:dyDescent="0.3">
      <c r="A76" s="10" t="s">
        <v>30</v>
      </c>
      <c r="B76" s="21" t="s">
        <v>12</v>
      </c>
      <c r="C76" s="11" t="s">
        <v>76</v>
      </c>
      <c r="D76" s="11">
        <v>259</v>
      </c>
    </row>
    <row r="77" spans="1:4" ht="15" customHeight="1" x14ac:dyDescent="0.3">
      <c r="A77" s="15" t="s">
        <v>31</v>
      </c>
      <c r="B77" s="18" t="s">
        <v>9</v>
      </c>
      <c r="C77" s="16" t="s">
        <v>70</v>
      </c>
      <c r="D77" s="16">
        <v>335</v>
      </c>
    </row>
    <row r="78" spans="1:4" ht="15" customHeight="1" x14ac:dyDescent="0.3">
      <c r="A78" s="10" t="s">
        <v>31</v>
      </c>
      <c r="B78" s="18" t="s">
        <v>9</v>
      </c>
      <c r="C78" s="11" t="s">
        <v>71</v>
      </c>
      <c r="D78" s="11">
        <v>311</v>
      </c>
    </row>
    <row r="79" spans="1:4" ht="15" customHeight="1" x14ac:dyDescent="0.3">
      <c r="A79" s="15" t="s">
        <v>31</v>
      </c>
      <c r="B79" s="18" t="s">
        <v>9</v>
      </c>
      <c r="C79" s="16" t="s">
        <v>72</v>
      </c>
      <c r="D79" s="16">
        <v>313</v>
      </c>
    </row>
    <row r="80" spans="1:4" ht="15" customHeight="1" x14ac:dyDescent="0.3">
      <c r="A80" s="10" t="s">
        <v>31</v>
      </c>
      <c r="B80" s="19" t="s">
        <v>10</v>
      </c>
      <c r="C80" s="11" t="s">
        <v>70</v>
      </c>
      <c r="D80" s="11">
        <v>326</v>
      </c>
    </row>
    <row r="81" spans="1:4" ht="15" customHeight="1" x14ac:dyDescent="0.3">
      <c r="A81" s="15" t="s">
        <v>31</v>
      </c>
      <c r="B81" s="19" t="s">
        <v>10</v>
      </c>
      <c r="C81" s="16" t="s">
        <v>71</v>
      </c>
      <c r="D81" s="16">
        <v>295</v>
      </c>
    </row>
    <row r="82" spans="1:4" ht="15" customHeight="1" x14ac:dyDescent="0.3">
      <c r="A82" s="10" t="s">
        <v>31</v>
      </c>
      <c r="B82" s="19" t="s">
        <v>10</v>
      </c>
      <c r="C82" s="11" t="s">
        <v>72</v>
      </c>
      <c r="D82" s="11">
        <v>293</v>
      </c>
    </row>
    <row r="83" spans="1:4" ht="15" customHeight="1" x14ac:dyDescent="0.3">
      <c r="A83" s="15" t="s">
        <v>31</v>
      </c>
      <c r="B83" s="20" t="s">
        <v>11</v>
      </c>
      <c r="C83" s="16" t="s">
        <v>70</v>
      </c>
      <c r="D83" s="16">
        <v>334</v>
      </c>
    </row>
    <row r="84" spans="1:4" ht="15" customHeight="1" x14ac:dyDescent="0.3">
      <c r="A84" s="10" t="s">
        <v>31</v>
      </c>
      <c r="B84" s="20" t="s">
        <v>11</v>
      </c>
      <c r="C84" s="11" t="s">
        <v>71</v>
      </c>
      <c r="D84" s="11">
        <v>285</v>
      </c>
    </row>
    <row r="85" spans="1:4" ht="15" customHeight="1" x14ac:dyDescent="0.3">
      <c r="A85" s="15" t="s">
        <v>31</v>
      </c>
      <c r="B85" s="20" t="s">
        <v>11</v>
      </c>
      <c r="C85" s="16" t="s">
        <v>73</v>
      </c>
      <c r="D85" s="16">
        <v>285</v>
      </c>
    </row>
    <row r="86" spans="1:4" ht="15" customHeight="1" x14ac:dyDescent="0.3">
      <c r="A86" s="10" t="s">
        <v>31</v>
      </c>
      <c r="B86" s="20" t="s">
        <v>11</v>
      </c>
      <c r="C86" s="11" t="s">
        <v>74</v>
      </c>
      <c r="D86" s="11">
        <v>287</v>
      </c>
    </row>
    <row r="87" spans="1:4" ht="15" customHeight="1" x14ac:dyDescent="0.3">
      <c r="A87" s="15" t="s">
        <v>31</v>
      </c>
      <c r="B87" s="21" t="s">
        <v>12</v>
      </c>
      <c r="C87" s="16" t="s">
        <v>75</v>
      </c>
      <c r="D87" s="16">
        <v>290</v>
      </c>
    </row>
    <row r="88" spans="1:4" ht="15" customHeight="1" x14ac:dyDescent="0.3">
      <c r="A88" s="10" t="s">
        <v>31</v>
      </c>
      <c r="B88" s="21" t="s">
        <v>12</v>
      </c>
      <c r="C88" s="11" t="s">
        <v>71</v>
      </c>
      <c r="D88" s="11">
        <v>261</v>
      </c>
    </row>
    <row r="89" spans="1:4" ht="15" customHeight="1" x14ac:dyDescent="0.3">
      <c r="A89" s="15" t="s">
        <v>31</v>
      </c>
      <c r="B89" s="21" t="s">
        <v>12</v>
      </c>
      <c r="C89" s="16" t="s">
        <v>73</v>
      </c>
      <c r="D89" s="16">
        <v>260</v>
      </c>
    </row>
    <row r="90" spans="1:4" ht="15" customHeight="1" x14ac:dyDescent="0.3">
      <c r="A90" s="10" t="s">
        <v>31</v>
      </c>
      <c r="B90" s="21" t="s">
        <v>12</v>
      </c>
      <c r="C90" s="11" t="s">
        <v>74</v>
      </c>
      <c r="D90" s="11">
        <v>287</v>
      </c>
    </row>
    <row r="91" spans="1:4" ht="15" customHeight="1" x14ac:dyDescent="0.3">
      <c r="A91" s="15" t="s">
        <v>31</v>
      </c>
      <c r="B91" s="21" t="s">
        <v>12</v>
      </c>
      <c r="C91" s="16" t="s">
        <v>76</v>
      </c>
      <c r="D91" s="16">
        <v>345</v>
      </c>
    </row>
    <row r="92" spans="1:4" ht="15" customHeight="1" x14ac:dyDescent="0.3">
      <c r="A92" s="10" t="s">
        <v>33</v>
      </c>
      <c r="B92" s="18" t="s">
        <v>9</v>
      </c>
      <c r="C92" s="11" t="s">
        <v>70</v>
      </c>
      <c r="D92" s="11">
        <v>301</v>
      </c>
    </row>
    <row r="93" spans="1:4" ht="15" customHeight="1" x14ac:dyDescent="0.3">
      <c r="A93" s="15" t="s">
        <v>33</v>
      </c>
      <c r="B93" s="18" t="s">
        <v>9</v>
      </c>
      <c r="C93" s="16" t="s">
        <v>71</v>
      </c>
      <c r="D93" s="16">
        <v>283</v>
      </c>
    </row>
    <row r="94" spans="1:4" ht="15" customHeight="1" x14ac:dyDescent="0.3">
      <c r="A94" s="10" t="s">
        <v>33</v>
      </c>
      <c r="B94" s="18" t="s">
        <v>9</v>
      </c>
      <c r="C94" s="11" t="s">
        <v>72</v>
      </c>
      <c r="D94" s="11">
        <v>289</v>
      </c>
    </row>
    <row r="95" spans="1:4" ht="15" customHeight="1" x14ac:dyDescent="0.3">
      <c r="A95" s="15" t="s">
        <v>33</v>
      </c>
      <c r="B95" s="19" t="s">
        <v>10</v>
      </c>
      <c r="C95" s="16" t="s">
        <v>70</v>
      </c>
      <c r="D95" s="16">
        <v>295</v>
      </c>
    </row>
    <row r="96" spans="1:4" ht="15" customHeight="1" x14ac:dyDescent="0.3">
      <c r="A96" s="10" t="s">
        <v>33</v>
      </c>
      <c r="B96" s="19" t="s">
        <v>10</v>
      </c>
      <c r="C96" s="11" t="s">
        <v>71</v>
      </c>
      <c r="D96" s="11">
        <v>266</v>
      </c>
    </row>
    <row r="97" spans="1:4" ht="15" customHeight="1" x14ac:dyDescent="0.3">
      <c r="A97" s="15" t="s">
        <v>33</v>
      </c>
      <c r="B97" s="19" t="s">
        <v>10</v>
      </c>
      <c r="C97" s="16" t="s">
        <v>72</v>
      </c>
      <c r="D97" s="16">
        <v>269</v>
      </c>
    </row>
    <row r="98" spans="1:4" ht="15" customHeight="1" x14ac:dyDescent="0.3">
      <c r="A98" s="10" t="s">
        <v>33</v>
      </c>
      <c r="B98" s="20" t="s">
        <v>11</v>
      </c>
      <c r="C98" s="11" t="s">
        <v>70</v>
      </c>
      <c r="D98" s="11">
        <v>265</v>
      </c>
    </row>
    <row r="99" spans="1:4" ht="15" customHeight="1" x14ac:dyDescent="0.3">
      <c r="A99" s="15" t="s">
        <v>33</v>
      </c>
      <c r="B99" s="20" t="s">
        <v>11</v>
      </c>
      <c r="C99" s="16" t="s">
        <v>71</v>
      </c>
      <c r="D99" s="16">
        <v>237</v>
      </c>
    </row>
    <row r="100" spans="1:4" ht="15" customHeight="1" x14ac:dyDescent="0.3">
      <c r="A100" s="10" t="s">
        <v>33</v>
      </c>
      <c r="B100" s="20" t="s">
        <v>11</v>
      </c>
      <c r="C100" s="11" t="s">
        <v>73</v>
      </c>
      <c r="D100" s="11">
        <v>241</v>
      </c>
    </row>
    <row r="101" spans="1:4" ht="15" customHeight="1" x14ac:dyDescent="0.3">
      <c r="A101" s="15" t="s">
        <v>33</v>
      </c>
      <c r="B101" s="20" t="s">
        <v>11</v>
      </c>
      <c r="C101" s="16" t="s">
        <v>74</v>
      </c>
      <c r="D101" s="16">
        <v>242</v>
      </c>
    </row>
    <row r="102" spans="1:4" ht="15" customHeight="1" x14ac:dyDescent="0.3">
      <c r="A102" s="10" t="s">
        <v>33</v>
      </c>
      <c r="B102" s="21" t="s">
        <v>12</v>
      </c>
      <c r="C102" s="11" t="s">
        <v>75</v>
      </c>
      <c r="D102" s="11">
        <v>258</v>
      </c>
    </row>
    <row r="103" spans="1:4" ht="15" customHeight="1" x14ac:dyDescent="0.3">
      <c r="A103" s="15" t="s">
        <v>33</v>
      </c>
      <c r="B103" s="21" t="s">
        <v>12</v>
      </c>
      <c r="C103" s="16" t="s">
        <v>71</v>
      </c>
      <c r="D103" s="16">
        <v>202</v>
      </c>
    </row>
    <row r="104" spans="1:4" ht="15" customHeight="1" x14ac:dyDescent="0.3">
      <c r="A104" s="10" t="s">
        <v>33</v>
      </c>
      <c r="B104" s="21" t="s">
        <v>12</v>
      </c>
      <c r="C104" s="11" t="s">
        <v>73</v>
      </c>
      <c r="D104" s="11">
        <v>189</v>
      </c>
    </row>
    <row r="105" spans="1:4" ht="15" customHeight="1" x14ac:dyDescent="0.3">
      <c r="A105" s="15" t="s">
        <v>33</v>
      </c>
      <c r="B105" s="21" t="s">
        <v>12</v>
      </c>
      <c r="C105" s="16" t="s">
        <v>74</v>
      </c>
      <c r="D105" s="16">
        <v>216</v>
      </c>
    </row>
    <row r="106" spans="1:4" ht="15" customHeight="1" x14ac:dyDescent="0.3">
      <c r="A106" s="10" t="s">
        <v>33</v>
      </c>
      <c r="B106" s="21" t="s">
        <v>12</v>
      </c>
      <c r="C106" s="11" t="s">
        <v>76</v>
      </c>
      <c r="D106" s="11">
        <v>257</v>
      </c>
    </row>
    <row r="107" spans="1:4" ht="15" customHeight="1" x14ac:dyDescent="0.3">
      <c r="A107" s="15" t="s">
        <v>35</v>
      </c>
      <c r="B107" s="18" t="s">
        <v>9</v>
      </c>
      <c r="C107" s="16" t="s">
        <v>70</v>
      </c>
      <c r="D107" s="16">
        <v>290</v>
      </c>
    </row>
    <row r="108" spans="1:4" ht="15" customHeight="1" x14ac:dyDescent="0.3">
      <c r="A108" s="10" t="s">
        <v>35</v>
      </c>
      <c r="B108" s="18" t="s">
        <v>9</v>
      </c>
      <c r="C108" s="11" t="s">
        <v>71</v>
      </c>
      <c r="D108" s="11">
        <v>272</v>
      </c>
    </row>
    <row r="109" spans="1:4" ht="15" customHeight="1" x14ac:dyDescent="0.3">
      <c r="A109" s="15" t="s">
        <v>35</v>
      </c>
      <c r="B109" s="18" t="s">
        <v>9</v>
      </c>
      <c r="C109" s="16" t="s">
        <v>72</v>
      </c>
      <c r="D109" s="16">
        <v>277</v>
      </c>
    </row>
    <row r="110" spans="1:4" ht="15" customHeight="1" x14ac:dyDescent="0.3">
      <c r="A110" s="10" t="s">
        <v>35</v>
      </c>
      <c r="B110" s="19" t="s">
        <v>10</v>
      </c>
      <c r="C110" s="11" t="s">
        <v>70</v>
      </c>
      <c r="D110" s="11">
        <v>285</v>
      </c>
    </row>
    <row r="111" spans="1:4" ht="15" customHeight="1" x14ac:dyDescent="0.3">
      <c r="A111" s="15" t="s">
        <v>35</v>
      </c>
      <c r="B111" s="19" t="s">
        <v>10</v>
      </c>
      <c r="C111" s="16" t="s">
        <v>71</v>
      </c>
      <c r="D111" s="16">
        <v>264</v>
      </c>
    </row>
    <row r="112" spans="1:4" ht="15" customHeight="1" x14ac:dyDescent="0.3">
      <c r="A112" s="10" t="s">
        <v>35</v>
      </c>
      <c r="B112" s="19" t="s">
        <v>10</v>
      </c>
      <c r="C112" s="11" t="s">
        <v>72</v>
      </c>
      <c r="D112" s="11">
        <v>260</v>
      </c>
    </row>
    <row r="113" spans="1:4" ht="15" customHeight="1" x14ac:dyDescent="0.3">
      <c r="A113" s="15" t="s">
        <v>35</v>
      </c>
      <c r="B113" s="20" t="s">
        <v>11</v>
      </c>
      <c r="C113" s="16" t="s">
        <v>70</v>
      </c>
      <c r="D113" s="16">
        <v>311</v>
      </c>
    </row>
    <row r="114" spans="1:4" ht="15" customHeight="1" x14ac:dyDescent="0.3">
      <c r="A114" s="10" t="s">
        <v>35</v>
      </c>
      <c r="B114" s="20" t="s">
        <v>11</v>
      </c>
      <c r="C114" s="11" t="s">
        <v>71</v>
      </c>
      <c r="D114" s="11">
        <v>247</v>
      </c>
    </row>
    <row r="115" spans="1:4" ht="15" customHeight="1" x14ac:dyDescent="0.3">
      <c r="A115" s="15" t="s">
        <v>35</v>
      </c>
      <c r="B115" s="20" t="s">
        <v>11</v>
      </c>
      <c r="C115" s="16" t="s">
        <v>73</v>
      </c>
      <c r="D115" s="16">
        <v>246</v>
      </c>
    </row>
    <row r="116" spans="1:4" ht="15" customHeight="1" x14ac:dyDescent="0.3">
      <c r="A116" s="10" t="s">
        <v>35</v>
      </c>
      <c r="B116" s="20" t="s">
        <v>11</v>
      </c>
      <c r="C116" s="11" t="s">
        <v>74</v>
      </c>
      <c r="D116" s="11">
        <v>249</v>
      </c>
    </row>
    <row r="117" spans="1:4" ht="15" customHeight="1" x14ac:dyDescent="0.3">
      <c r="A117" s="15" t="s">
        <v>35</v>
      </c>
      <c r="B117" s="21" t="s">
        <v>12</v>
      </c>
      <c r="C117" s="16" t="s">
        <v>75</v>
      </c>
      <c r="D117" s="16">
        <v>244</v>
      </c>
    </row>
    <row r="118" spans="1:4" ht="15" customHeight="1" x14ac:dyDescent="0.3">
      <c r="A118" s="10" t="s">
        <v>35</v>
      </c>
      <c r="B118" s="21" t="s">
        <v>12</v>
      </c>
      <c r="C118" s="11" t="s">
        <v>71</v>
      </c>
      <c r="D118" s="11">
        <v>201</v>
      </c>
    </row>
    <row r="119" spans="1:4" ht="15" customHeight="1" x14ac:dyDescent="0.3">
      <c r="A119" s="15" t="s">
        <v>35</v>
      </c>
      <c r="B119" s="21" t="s">
        <v>12</v>
      </c>
      <c r="C119" s="16" t="s">
        <v>73</v>
      </c>
      <c r="D119" s="16">
        <v>190</v>
      </c>
    </row>
    <row r="120" spans="1:4" ht="15" customHeight="1" x14ac:dyDescent="0.3">
      <c r="A120" s="10" t="s">
        <v>35</v>
      </c>
      <c r="B120" s="21" t="s">
        <v>12</v>
      </c>
      <c r="C120" s="11" t="s">
        <v>74</v>
      </c>
      <c r="D120" s="11">
        <v>216</v>
      </c>
    </row>
    <row r="121" spans="1:4" ht="15" customHeight="1" x14ac:dyDescent="0.3">
      <c r="A121" s="15" t="s">
        <v>35</v>
      </c>
      <c r="B121" s="21" t="s">
        <v>12</v>
      </c>
      <c r="C121" s="16" t="s">
        <v>76</v>
      </c>
      <c r="D121" s="16">
        <v>262</v>
      </c>
    </row>
    <row r="122" spans="1:4" ht="15" customHeight="1" x14ac:dyDescent="0.3">
      <c r="A122" s="10" t="s">
        <v>37</v>
      </c>
      <c r="B122" s="18" t="s">
        <v>9</v>
      </c>
      <c r="C122" s="11" t="s">
        <v>70</v>
      </c>
      <c r="D122" s="11">
        <v>306</v>
      </c>
    </row>
    <row r="123" spans="1:4" ht="15" customHeight="1" x14ac:dyDescent="0.3">
      <c r="A123" s="15" t="s">
        <v>37</v>
      </c>
      <c r="B123" s="18" t="s">
        <v>9</v>
      </c>
      <c r="C123" s="16" t="s">
        <v>71</v>
      </c>
      <c r="D123" s="16">
        <v>294</v>
      </c>
    </row>
    <row r="124" spans="1:4" ht="15" customHeight="1" x14ac:dyDescent="0.3">
      <c r="A124" s="10" t="s">
        <v>37</v>
      </c>
      <c r="B124" s="18" t="s">
        <v>9</v>
      </c>
      <c r="C124" s="11" t="s">
        <v>72</v>
      </c>
      <c r="D124" s="11">
        <v>294</v>
      </c>
    </row>
    <row r="125" spans="1:4" ht="15" customHeight="1" x14ac:dyDescent="0.3">
      <c r="A125" s="15" t="s">
        <v>37</v>
      </c>
      <c r="B125" s="19" t="s">
        <v>10</v>
      </c>
      <c r="C125" s="16" t="s">
        <v>70</v>
      </c>
      <c r="D125" s="16">
        <v>296</v>
      </c>
    </row>
    <row r="126" spans="1:4" ht="15" customHeight="1" x14ac:dyDescent="0.3">
      <c r="A126" s="10" t="s">
        <v>37</v>
      </c>
      <c r="B126" s="19" t="s">
        <v>10</v>
      </c>
      <c r="C126" s="11" t="s">
        <v>71</v>
      </c>
      <c r="D126" s="11">
        <v>273</v>
      </c>
    </row>
    <row r="127" spans="1:4" ht="15" customHeight="1" x14ac:dyDescent="0.3">
      <c r="A127" s="15" t="s">
        <v>37</v>
      </c>
      <c r="B127" s="19" t="s">
        <v>10</v>
      </c>
      <c r="C127" s="16" t="s">
        <v>72</v>
      </c>
      <c r="D127" s="16">
        <v>269</v>
      </c>
    </row>
    <row r="128" spans="1:4" ht="15" customHeight="1" x14ac:dyDescent="0.3">
      <c r="A128" s="10" t="s">
        <v>37</v>
      </c>
      <c r="B128" s="20" t="s">
        <v>11</v>
      </c>
      <c r="C128" s="11" t="s">
        <v>70</v>
      </c>
      <c r="D128" s="11">
        <v>302</v>
      </c>
    </row>
    <row r="129" spans="1:4" ht="15" customHeight="1" x14ac:dyDescent="0.3">
      <c r="A129" s="15" t="s">
        <v>37</v>
      </c>
      <c r="B129" s="20" t="s">
        <v>11</v>
      </c>
      <c r="C129" s="16" t="s">
        <v>71</v>
      </c>
      <c r="D129" s="16">
        <v>251</v>
      </c>
    </row>
    <row r="130" spans="1:4" ht="15" customHeight="1" x14ac:dyDescent="0.3">
      <c r="A130" s="10" t="s">
        <v>37</v>
      </c>
      <c r="B130" s="20" t="s">
        <v>11</v>
      </c>
      <c r="C130" s="11" t="s">
        <v>73</v>
      </c>
      <c r="D130" s="11">
        <v>246</v>
      </c>
    </row>
    <row r="131" spans="1:4" ht="15" customHeight="1" x14ac:dyDescent="0.3">
      <c r="A131" s="15" t="s">
        <v>37</v>
      </c>
      <c r="B131" s="20" t="s">
        <v>11</v>
      </c>
      <c r="C131" s="16" t="s">
        <v>74</v>
      </c>
      <c r="D131" s="16">
        <v>244</v>
      </c>
    </row>
    <row r="132" spans="1:4" ht="15" customHeight="1" x14ac:dyDescent="0.3">
      <c r="A132" s="10" t="s">
        <v>37</v>
      </c>
      <c r="B132" s="21" t="s">
        <v>12</v>
      </c>
      <c r="C132" s="11" t="s">
        <v>75</v>
      </c>
      <c r="D132" s="11">
        <v>262</v>
      </c>
    </row>
    <row r="133" spans="1:4" ht="15" customHeight="1" x14ac:dyDescent="0.3">
      <c r="A133" s="15" t="s">
        <v>37</v>
      </c>
      <c r="B133" s="21" t="s">
        <v>12</v>
      </c>
      <c r="C133" s="16" t="s">
        <v>71</v>
      </c>
      <c r="D133" s="16">
        <v>208</v>
      </c>
    </row>
    <row r="134" spans="1:4" ht="15" customHeight="1" x14ac:dyDescent="0.3">
      <c r="A134" s="10" t="s">
        <v>37</v>
      </c>
      <c r="B134" s="21" t="s">
        <v>12</v>
      </c>
      <c r="C134" s="11" t="s">
        <v>73</v>
      </c>
      <c r="D134" s="11">
        <v>204</v>
      </c>
    </row>
    <row r="135" spans="1:4" ht="15" customHeight="1" x14ac:dyDescent="0.3">
      <c r="A135" s="15" t="s">
        <v>37</v>
      </c>
      <c r="B135" s="21" t="s">
        <v>12</v>
      </c>
      <c r="C135" s="16" t="s">
        <v>74</v>
      </c>
      <c r="D135" s="16">
        <v>231</v>
      </c>
    </row>
    <row r="136" spans="1:4" ht="15" customHeight="1" x14ac:dyDescent="0.3">
      <c r="A136" s="10" t="s">
        <v>37</v>
      </c>
      <c r="B136" s="21" t="s">
        <v>12</v>
      </c>
      <c r="C136" s="11" t="s">
        <v>76</v>
      </c>
      <c r="D136" s="11">
        <v>285</v>
      </c>
    </row>
    <row r="137" spans="1:4" ht="15" customHeight="1" x14ac:dyDescent="0.3">
      <c r="A137" s="15" t="s">
        <v>38</v>
      </c>
      <c r="B137" s="18" t="s">
        <v>9</v>
      </c>
      <c r="C137" s="16" t="s">
        <v>70</v>
      </c>
      <c r="D137" s="16">
        <v>302</v>
      </c>
    </row>
    <row r="138" spans="1:4" ht="15" customHeight="1" x14ac:dyDescent="0.3">
      <c r="A138" s="10" t="s">
        <v>38</v>
      </c>
      <c r="B138" s="18" t="s">
        <v>9</v>
      </c>
      <c r="C138" s="11" t="s">
        <v>71</v>
      </c>
      <c r="D138" s="11">
        <v>282</v>
      </c>
    </row>
    <row r="139" spans="1:4" ht="15" customHeight="1" x14ac:dyDescent="0.3">
      <c r="A139" s="15" t="s">
        <v>38</v>
      </c>
      <c r="B139" s="18" t="s">
        <v>9</v>
      </c>
      <c r="C139" s="16" t="s">
        <v>72</v>
      </c>
      <c r="D139" s="16">
        <v>288</v>
      </c>
    </row>
    <row r="140" spans="1:4" ht="15" customHeight="1" x14ac:dyDescent="0.3">
      <c r="A140" s="10" t="s">
        <v>38</v>
      </c>
      <c r="B140" s="19" t="s">
        <v>10</v>
      </c>
      <c r="C140" s="11" t="s">
        <v>70</v>
      </c>
      <c r="D140" s="11">
        <v>304</v>
      </c>
    </row>
    <row r="141" spans="1:4" ht="15" customHeight="1" x14ac:dyDescent="0.3">
      <c r="A141" s="15" t="s">
        <v>38</v>
      </c>
      <c r="B141" s="19" t="s">
        <v>10</v>
      </c>
      <c r="C141" s="16" t="s">
        <v>71</v>
      </c>
      <c r="D141" s="16">
        <v>273</v>
      </c>
    </row>
    <row r="142" spans="1:4" ht="15" customHeight="1" x14ac:dyDescent="0.3">
      <c r="A142" s="10" t="s">
        <v>38</v>
      </c>
      <c r="B142" s="19" t="s">
        <v>10</v>
      </c>
      <c r="C142" s="11" t="s">
        <v>72</v>
      </c>
      <c r="D142" s="11">
        <v>274</v>
      </c>
    </row>
    <row r="143" spans="1:4" ht="15" customHeight="1" x14ac:dyDescent="0.3">
      <c r="A143" s="15" t="s">
        <v>38</v>
      </c>
      <c r="B143" s="20" t="s">
        <v>11</v>
      </c>
      <c r="C143" s="16" t="s">
        <v>70</v>
      </c>
      <c r="D143" s="16">
        <v>316</v>
      </c>
    </row>
    <row r="144" spans="1:4" ht="15" customHeight="1" x14ac:dyDescent="0.3">
      <c r="A144" s="10" t="s">
        <v>38</v>
      </c>
      <c r="B144" s="20" t="s">
        <v>11</v>
      </c>
      <c r="C144" s="11" t="s">
        <v>71</v>
      </c>
      <c r="D144" s="11">
        <v>253</v>
      </c>
    </row>
    <row r="145" spans="1:4" ht="15" customHeight="1" x14ac:dyDescent="0.3">
      <c r="A145" s="15" t="s">
        <v>38</v>
      </c>
      <c r="B145" s="20" t="s">
        <v>11</v>
      </c>
      <c r="C145" s="16" t="s">
        <v>73</v>
      </c>
      <c r="D145" s="16">
        <v>257</v>
      </c>
    </row>
    <row r="146" spans="1:4" ht="15" customHeight="1" x14ac:dyDescent="0.3">
      <c r="A146" s="10" t="s">
        <v>38</v>
      </c>
      <c r="B146" s="20" t="s">
        <v>11</v>
      </c>
      <c r="C146" s="11" t="s">
        <v>74</v>
      </c>
      <c r="D146" s="11">
        <v>254</v>
      </c>
    </row>
    <row r="147" spans="1:4" ht="15" customHeight="1" x14ac:dyDescent="0.3">
      <c r="A147" s="15" t="s">
        <v>38</v>
      </c>
      <c r="B147" s="21" t="s">
        <v>12</v>
      </c>
      <c r="C147" s="16" t="s">
        <v>75</v>
      </c>
      <c r="D147" s="16">
        <v>283</v>
      </c>
    </row>
    <row r="148" spans="1:4" ht="15" customHeight="1" x14ac:dyDescent="0.3">
      <c r="A148" s="10" t="s">
        <v>38</v>
      </c>
      <c r="B148" s="21" t="s">
        <v>12</v>
      </c>
      <c r="C148" s="11" t="s">
        <v>71</v>
      </c>
      <c r="D148" s="11">
        <v>230</v>
      </c>
    </row>
    <row r="149" spans="1:4" ht="15" customHeight="1" x14ac:dyDescent="0.3">
      <c r="A149" s="15" t="s">
        <v>38</v>
      </c>
      <c r="B149" s="21" t="s">
        <v>12</v>
      </c>
      <c r="C149" s="16" t="s">
        <v>73</v>
      </c>
      <c r="D149" s="16">
        <v>233</v>
      </c>
    </row>
    <row r="150" spans="1:4" ht="15" customHeight="1" x14ac:dyDescent="0.3">
      <c r="A150" s="10" t="s">
        <v>38</v>
      </c>
      <c r="B150" s="21" t="s">
        <v>12</v>
      </c>
      <c r="C150" s="11" t="s">
        <v>74</v>
      </c>
      <c r="D150" s="11">
        <v>259</v>
      </c>
    </row>
    <row r="151" spans="1:4" ht="15" customHeight="1" x14ac:dyDescent="0.3">
      <c r="A151" s="15" t="s">
        <v>38</v>
      </c>
      <c r="B151" s="21" t="s">
        <v>12</v>
      </c>
      <c r="C151" s="16" t="s">
        <v>76</v>
      </c>
      <c r="D151" s="16">
        <v>321</v>
      </c>
    </row>
    <row r="152" spans="1:4" ht="15" customHeight="1" x14ac:dyDescent="0.3">
      <c r="A152" s="10" t="s">
        <v>39</v>
      </c>
      <c r="B152" s="18" t="s">
        <v>9</v>
      </c>
      <c r="C152" s="11" t="s">
        <v>70</v>
      </c>
      <c r="D152" s="11">
        <v>327</v>
      </c>
    </row>
    <row r="153" spans="1:4" ht="15" customHeight="1" x14ac:dyDescent="0.3">
      <c r="A153" s="15" t="s">
        <v>39</v>
      </c>
      <c r="B153" s="18" t="s">
        <v>9</v>
      </c>
      <c r="C153" s="16" t="s">
        <v>71</v>
      </c>
      <c r="D153" s="16">
        <v>299</v>
      </c>
    </row>
    <row r="154" spans="1:4" ht="15" customHeight="1" x14ac:dyDescent="0.3">
      <c r="A154" s="10" t="s">
        <v>39</v>
      </c>
      <c r="B154" s="18" t="s">
        <v>9</v>
      </c>
      <c r="C154" s="11" t="s">
        <v>72</v>
      </c>
      <c r="D154" s="11">
        <v>310</v>
      </c>
    </row>
    <row r="155" spans="1:4" ht="15" customHeight="1" x14ac:dyDescent="0.3">
      <c r="A155" s="15" t="s">
        <v>39</v>
      </c>
      <c r="B155" s="19" t="s">
        <v>10</v>
      </c>
      <c r="C155" s="16" t="s">
        <v>70</v>
      </c>
      <c r="D155" s="16">
        <v>312</v>
      </c>
    </row>
    <row r="156" spans="1:4" ht="15" customHeight="1" x14ac:dyDescent="0.3">
      <c r="A156" s="10" t="s">
        <v>39</v>
      </c>
      <c r="B156" s="19" t="s">
        <v>10</v>
      </c>
      <c r="C156" s="11" t="s">
        <v>71</v>
      </c>
      <c r="D156" s="11">
        <v>274</v>
      </c>
    </row>
    <row r="157" spans="1:4" ht="15" customHeight="1" x14ac:dyDescent="0.3">
      <c r="A157" s="15" t="s">
        <v>39</v>
      </c>
      <c r="B157" s="19" t="s">
        <v>10</v>
      </c>
      <c r="C157" s="16" t="s">
        <v>72</v>
      </c>
      <c r="D157" s="16">
        <v>278</v>
      </c>
    </row>
    <row r="158" spans="1:4" ht="15" customHeight="1" x14ac:dyDescent="0.3">
      <c r="A158" s="10" t="s">
        <v>39</v>
      </c>
      <c r="B158" s="20" t="s">
        <v>11</v>
      </c>
      <c r="C158" s="11" t="s">
        <v>70</v>
      </c>
      <c r="D158" s="11">
        <v>324</v>
      </c>
    </row>
    <row r="159" spans="1:4" ht="15" customHeight="1" x14ac:dyDescent="0.3">
      <c r="A159" s="15" t="s">
        <v>39</v>
      </c>
      <c r="B159" s="20" t="s">
        <v>11</v>
      </c>
      <c r="C159" s="16" t="s">
        <v>71</v>
      </c>
      <c r="D159" s="16">
        <v>242</v>
      </c>
    </row>
    <row r="160" spans="1:4" ht="15" customHeight="1" x14ac:dyDescent="0.3">
      <c r="A160" s="10" t="s">
        <v>39</v>
      </c>
      <c r="B160" s="20" t="s">
        <v>11</v>
      </c>
      <c r="C160" s="11" t="s">
        <v>73</v>
      </c>
      <c r="D160" s="11">
        <v>259</v>
      </c>
    </row>
    <row r="161" spans="1:4" ht="15" customHeight="1" x14ac:dyDescent="0.3">
      <c r="A161" s="15" t="s">
        <v>39</v>
      </c>
      <c r="B161" s="20" t="s">
        <v>11</v>
      </c>
      <c r="C161" s="16" t="s">
        <v>74</v>
      </c>
      <c r="D161" s="16">
        <v>249</v>
      </c>
    </row>
    <row r="162" spans="1:4" ht="15" customHeight="1" x14ac:dyDescent="0.3">
      <c r="A162" s="10" t="s">
        <v>39</v>
      </c>
      <c r="B162" s="21" t="s">
        <v>12</v>
      </c>
      <c r="C162" s="11" t="s">
        <v>75</v>
      </c>
      <c r="D162" s="11">
        <v>229</v>
      </c>
    </row>
    <row r="163" spans="1:4" ht="15" customHeight="1" x14ac:dyDescent="0.3">
      <c r="A163" s="15" t="s">
        <v>39</v>
      </c>
      <c r="B163" s="21" t="s">
        <v>12</v>
      </c>
      <c r="C163" s="16" t="s">
        <v>71</v>
      </c>
      <c r="D163" s="16">
        <v>213</v>
      </c>
    </row>
    <row r="164" spans="1:4" ht="15" customHeight="1" x14ac:dyDescent="0.3">
      <c r="A164" s="10" t="s">
        <v>39</v>
      </c>
      <c r="B164" s="21" t="s">
        <v>12</v>
      </c>
      <c r="C164" s="11" t="s">
        <v>73</v>
      </c>
      <c r="D164" s="11">
        <v>230</v>
      </c>
    </row>
    <row r="165" spans="1:4" ht="15" customHeight="1" x14ac:dyDescent="0.3">
      <c r="A165" s="15" t="s">
        <v>39</v>
      </c>
      <c r="B165" s="21" t="s">
        <v>12</v>
      </c>
      <c r="C165" s="16" t="s">
        <v>74</v>
      </c>
      <c r="D165" s="16">
        <v>256</v>
      </c>
    </row>
    <row r="166" spans="1:4" ht="15" customHeight="1" x14ac:dyDescent="0.3">
      <c r="A166" s="10" t="s">
        <v>39</v>
      </c>
      <c r="B166" s="21" t="s">
        <v>12</v>
      </c>
      <c r="C166" s="11" t="s">
        <v>76</v>
      </c>
      <c r="D166" s="11">
        <v>338</v>
      </c>
    </row>
    <row r="167" spans="1:4" ht="15" customHeight="1" x14ac:dyDescent="0.3">
      <c r="A167" s="15" t="s">
        <v>40</v>
      </c>
      <c r="B167" s="18" t="s">
        <v>9</v>
      </c>
      <c r="C167" s="16" t="s">
        <v>70</v>
      </c>
      <c r="D167" s="16">
        <v>330</v>
      </c>
    </row>
    <row r="168" spans="1:4" ht="15" customHeight="1" x14ac:dyDescent="0.3">
      <c r="A168" s="10" t="s">
        <v>40</v>
      </c>
      <c r="B168" s="18" t="s">
        <v>9</v>
      </c>
      <c r="C168" s="11" t="s">
        <v>71</v>
      </c>
      <c r="D168" s="11">
        <v>310</v>
      </c>
    </row>
    <row r="169" spans="1:4" ht="15" customHeight="1" x14ac:dyDescent="0.3">
      <c r="A169" s="15" t="s">
        <v>40</v>
      </c>
      <c r="B169" s="18" t="s">
        <v>9</v>
      </c>
      <c r="C169" s="16" t="s">
        <v>72</v>
      </c>
      <c r="D169" s="16">
        <v>313</v>
      </c>
    </row>
    <row r="170" spans="1:4" ht="15" customHeight="1" x14ac:dyDescent="0.3">
      <c r="A170" s="10" t="s">
        <v>40</v>
      </c>
      <c r="B170" s="19" t="s">
        <v>10</v>
      </c>
      <c r="C170" s="11" t="s">
        <v>70</v>
      </c>
      <c r="D170" s="11">
        <v>307</v>
      </c>
    </row>
    <row r="171" spans="1:4" ht="15" customHeight="1" x14ac:dyDescent="0.3">
      <c r="A171" s="15" t="s">
        <v>40</v>
      </c>
      <c r="B171" s="19" t="s">
        <v>10</v>
      </c>
      <c r="C171" s="16" t="s">
        <v>71</v>
      </c>
      <c r="D171" s="16">
        <v>287</v>
      </c>
    </row>
    <row r="172" spans="1:4" ht="15" customHeight="1" x14ac:dyDescent="0.3">
      <c r="A172" s="10" t="s">
        <v>40</v>
      </c>
      <c r="B172" s="19" t="s">
        <v>10</v>
      </c>
      <c r="C172" s="11" t="s">
        <v>72</v>
      </c>
      <c r="D172" s="11">
        <v>287</v>
      </c>
    </row>
    <row r="173" spans="1:4" ht="15" customHeight="1" x14ac:dyDescent="0.3">
      <c r="A173" s="15" t="s">
        <v>40</v>
      </c>
      <c r="B173" s="20" t="s">
        <v>11</v>
      </c>
      <c r="C173" s="16" t="s">
        <v>70</v>
      </c>
      <c r="D173" s="16">
        <v>309</v>
      </c>
    </row>
    <row r="174" spans="1:4" ht="15" customHeight="1" x14ac:dyDescent="0.3">
      <c r="A174" s="10" t="s">
        <v>40</v>
      </c>
      <c r="B174" s="20" t="s">
        <v>11</v>
      </c>
      <c r="C174" s="11" t="s">
        <v>71</v>
      </c>
      <c r="D174" s="11">
        <v>254</v>
      </c>
    </row>
    <row r="175" spans="1:4" ht="15" customHeight="1" x14ac:dyDescent="0.3">
      <c r="A175" s="15" t="s">
        <v>40</v>
      </c>
      <c r="B175" s="20" t="s">
        <v>11</v>
      </c>
      <c r="C175" s="16" t="s">
        <v>73</v>
      </c>
      <c r="D175" s="16">
        <v>253</v>
      </c>
    </row>
    <row r="176" spans="1:4" ht="15" customHeight="1" x14ac:dyDescent="0.3">
      <c r="A176" s="10" t="s">
        <v>40</v>
      </c>
      <c r="B176" s="20" t="s">
        <v>11</v>
      </c>
      <c r="C176" s="11" t="s">
        <v>74</v>
      </c>
      <c r="D176" s="11">
        <v>255</v>
      </c>
    </row>
    <row r="177" spans="1:4" ht="15" customHeight="1" x14ac:dyDescent="0.3">
      <c r="A177" s="15" t="s">
        <v>40</v>
      </c>
      <c r="B177" s="21" t="s">
        <v>12</v>
      </c>
      <c r="C177" s="16" t="s">
        <v>75</v>
      </c>
      <c r="D177" s="16">
        <v>263</v>
      </c>
    </row>
    <row r="178" spans="1:4" ht="15" customHeight="1" x14ac:dyDescent="0.3">
      <c r="A178" s="10" t="s">
        <v>40</v>
      </c>
      <c r="B178" s="21" t="s">
        <v>12</v>
      </c>
      <c r="C178" s="11" t="s">
        <v>71</v>
      </c>
      <c r="D178" s="11">
        <v>211</v>
      </c>
    </row>
    <row r="179" spans="1:4" ht="15" customHeight="1" x14ac:dyDescent="0.3">
      <c r="A179" s="15" t="s">
        <v>40</v>
      </c>
      <c r="B179" s="21" t="s">
        <v>12</v>
      </c>
      <c r="C179" s="16" t="s">
        <v>73</v>
      </c>
      <c r="D179" s="16">
        <v>201</v>
      </c>
    </row>
    <row r="180" spans="1:4" ht="15" customHeight="1" x14ac:dyDescent="0.3">
      <c r="A180" s="10" t="s">
        <v>40</v>
      </c>
      <c r="B180" s="21" t="s">
        <v>12</v>
      </c>
      <c r="C180" s="11" t="s">
        <v>74</v>
      </c>
      <c r="D180" s="11">
        <v>232</v>
      </c>
    </row>
    <row r="181" spans="1:4" ht="15" customHeight="1" x14ac:dyDescent="0.3">
      <c r="A181" s="15" t="s">
        <v>40</v>
      </c>
      <c r="B181" s="21" t="s">
        <v>12</v>
      </c>
      <c r="C181" s="16" t="s">
        <v>76</v>
      </c>
      <c r="D181" s="16">
        <v>271</v>
      </c>
    </row>
    <row r="182" spans="1:4" ht="15" customHeight="1" x14ac:dyDescent="0.3">
      <c r="A182" s="10" t="s">
        <v>41</v>
      </c>
      <c r="B182" s="18" t="s">
        <v>9</v>
      </c>
      <c r="C182" s="11" t="s">
        <v>70</v>
      </c>
      <c r="D182" s="11">
        <v>315</v>
      </c>
    </row>
    <row r="183" spans="1:4" ht="15" customHeight="1" x14ac:dyDescent="0.3">
      <c r="A183" s="15" t="s">
        <v>41</v>
      </c>
      <c r="B183" s="18" t="s">
        <v>9</v>
      </c>
      <c r="C183" s="16" t="s">
        <v>71</v>
      </c>
      <c r="D183" s="16">
        <v>299</v>
      </c>
    </row>
    <row r="184" spans="1:4" ht="15" customHeight="1" x14ac:dyDescent="0.3">
      <c r="A184" s="10" t="s">
        <v>41</v>
      </c>
      <c r="B184" s="18" t="s">
        <v>9</v>
      </c>
      <c r="C184" s="11" t="s">
        <v>72</v>
      </c>
      <c r="D184" s="11">
        <v>300</v>
      </c>
    </row>
    <row r="185" spans="1:4" ht="15" customHeight="1" x14ac:dyDescent="0.3">
      <c r="A185" s="15" t="s">
        <v>41</v>
      </c>
      <c r="B185" s="19" t="s">
        <v>10</v>
      </c>
      <c r="C185" s="16" t="s">
        <v>70</v>
      </c>
      <c r="D185" s="16">
        <v>312</v>
      </c>
    </row>
    <row r="186" spans="1:4" ht="15" customHeight="1" x14ac:dyDescent="0.3">
      <c r="A186" s="10" t="s">
        <v>41</v>
      </c>
      <c r="B186" s="19" t="s">
        <v>10</v>
      </c>
      <c r="C186" s="11" t="s">
        <v>71</v>
      </c>
      <c r="D186" s="11">
        <v>286</v>
      </c>
    </row>
    <row r="187" spans="1:4" ht="15" customHeight="1" x14ac:dyDescent="0.3">
      <c r="A187" s="15" t="s">
        <v>41</v>
      </c>
      <c r="B187" s="19" t="s">
        <v>10</v>
      </c>
      <c r="C187" s="16" t="s">
        <v>72</v>
      </c>
      <c r="D187" s="16">
        <v>283</v>
      </c>
    </row>
    <row r="188" spans="1:4" ht="15" customHeight="1" x14ac:dyDescent="0.3">
      <c r="A188" s="10" t="s">
        <v>41</v>
      </c>
      <c r="B188" s="20" t="s">
        <v>11</v>
      </c>
      <c r="C188" s="11" t="s">
        <v>70</v>
      </c>
      <c r="D188" s="11">
        <v>325</v>
      </c>
    </row>
    <row r="189" spans="1:4" ht="15" customHeight="1" x14ac:dyDescent="0.3">
      <c r="A189" s="15" t="s">
        <v>41</v>
      </c>
      <c r="B189" s="20" t="s">
        <v>11</v>
      </c>
      <c r="C189" s="16" t="s">
        <v>71</v>
      </c>
      <c r="D189" s="16">
        <v>272</v>
      </c>
    </row>
    <row r="190" spans="1:4" ht="15" customHeight="1" x14ac:dyDescent="0.3">
      <c r="A190" s="10" t="s">
        <v>41</v>
      </c>
      <c r="B190" s="20" t="s">
        <v>11</v>
      </c>
      <c r="C190" s="11" t="s">
        <v>73</v>
      </c>
      <c r="D190" s="11">
        <v>268</v>
      </c>
    </row>
    <row r="191" spans="1:4" ht="15" customHeight="1" x14ac:dyDescent="0.3">
      <c r="A191" s="15" t="s">
        <v>41</v>
      </c>
      <c r="B191" s="20" t="s">
        <v>11</v>
      </c>
      <c r="C191" s="16" t="s">
        <v>74</v>
      </c>
      <c r="D191" s="16">
        <v>268</v>
      </c>
    </row>
    <row r="192" spans="1:4" ht="15" customHeight="1" x14ac:dyDescent="0.3">
      <c r="A192" s="10" t="s">
        <v>41</v>
      </c>
      <c r="B192" s="21" t="s">
        <v>12</v>
      </c>
      <c r="C192" s="11" t="s">
        <v>75</v>
      </c>
      <c r="D192" s="11">
        <v>284</v>
      </c>
    </row>
    <row r="193" spans="1:4" ht="15" customHeight="1" x14ac:dyDescent="0.3">
      <c r="A193" s="15" t="s">
        <v>41</v>
      </c>
      <c r="B193" s="21" t="s">
        <v>12</v>
      </c>
      <c r="C193" s="16" t="s">
        <v>71</v>
      </c>
      <c r="D193" s="16">
        <v>242</v>
      </c>
    </row>
    <row r="194" spans="1:4" ht="15" customHeight="1" x14ac:dyDescent="0.3">
      <c r="A194" s="10" t="s">
        <v>41</v>
      </c>
      <c r="B194" s="21" t="s">
        <v>12</v>
      </c>
      <c r="C194" s="11" t="s">
        <v>73</v>
      </c>
      <c r="D194" s="11">
        <v>230</v>
      </c>
    </row>
    <row r="195" spans="1:4" ht="15" customHeight="1" x14ac:dyDescent="0.3">
      <c r="A195" s="15" t="s">
        <v>41</v>
      </c>
      <c r="B195" s="21" t="s">
        <v>12</v>
      </c>
      <c r="C195" s="16" t="s">
        <v>74</v>
      </c>
      <c r="D195" s="16">
        <v>254</v>
      </c>
    </row>
    <row r="196" spans="1:4" ht="15" customHeight="1" x14ac:dyDescent="0.3">
      <c r="A196" s="10" t="s">
        <v>41</v>
      </c>
      <c r="B196" s="21" t="s">
        <v>12</v>
      </c>
      <c r="C196" s="11" t="s">
        <v>76</v>
      </c>
      <c r="D196" s="11">
        <v>304</v>
      </c>
    </row>
    <row r="197" spans="1:4" ht="15" customHeight="1" x14ac:dyDescent="0.3">
      <c r="A197" s="15" t="s">
        <v>42</v>
      </c>
      <c r="B197" s="18" t="s">
        <v>9</v>
      </c>
      <c r="C197" s="16" t="s">
        <v>70</v>
      </c>
      <c r="D197" s="16">
        <v>319</v>
      </c>
    </row>
    <row r="198" spans="1:4" ht="15" customHeight="1" x14ac:dyDescent="0.3">
      <c r="A198" s="10" t="s">
        <v>42</v>
      </c>
      <c r="B198" s="18" t="s">
        <v>9</v>
      </c>
      <c r="C198" s="11" t="s">
        <v>71</v>
      </c>
      <c r="D198" s="11">
        <v>296</v>
      </c>
    </row>
    <row r="199" spans="1:4" ht="15" customHeight="1" x14ac:dyDescent="0.3">
      <c r="A199" s="15" t="s">
        <v>42</v>
      </c>
      <c r="B199" s="18" t="s">
        <v>9</v>
      </c>
      <c r="C199" s="16" t="s">
        <v>72</v>
      </c>
      <c r="D199" s="16">
        <v>302</v>
      </c>
    </row>
    <row r="200" spans="1:4" ht="15" customHeight="1" x14ac:dyDescent="0.3">
      <c r="A200" s="10" t="s">
        <v>42</v>
      </c>
      <c r="B200" s="19" t="s">
        <v>10</v>
      </c>
      <c r="C200" s="11" t="s">
        <v>70</v>
      </c>
      <c r="D200" s="11">
        <v>304</v>
      </c>
    </row>
    <row r="201" spans="1:4" ht="15" customHeight="1" x14ac:dyDescent="0.3">
      <c r="A201" s="15" t="s">
        <v>42</v>
      </c>
      <c r="B201" s="19" t="s">
        <v>10</v>
      </c>
      <c r="C201" s="16" t="s">
        <v>71</v>
      </c>
      <c r="D201" s="16">
        <v>270</v>
      </c>
    </row>
    <row r="202" spans="1:4" ht="15" customHeight="1" x14ac:dyDescent="0.3">
      <c r="A202" s="10" t="s">
        <v>42</v>
      </c>
      <c r="B202" s="19" t="s">
        <v>10</v>
      </c>
      <c r="C202" s="11" t="s">
        <v>72</v>
      </c>
      <c r="D202" s="11">
        <v>275</v>
      </c>
    </row>
    <row r="203" spans="1:4" ht="15" customHeight="1" x14ac:dyDescent="0.3">
      <c r="A203" s="15" t="s">
        <v>42</v>
      </c>
      <c r="B203" s="20" t="s">
        <v>11</v>
      </c>
      <c r="C203" s="16" t="s">
        <v>70</v>
      </c>
      <c r="D203" s="16">
        <v>315</v>
      </c>
    </row>
    <row r="204" spans="1:4" ht="15" customHeight="1" x14ac:dyDescent="0.3">
      <c r="A204" s="10" t="s">
        <v>42</v>
      </c>
      <c r="B204" s="20" t="s">
        <v>11</v>
      </c>
      <c r="C204" s="11" t="s">
        <v>71</v>
      </c>
      <c r="D204" s="11">
        <v>247</v>
      </c>
    </row>
    <row r="205" spans="1:4" ht="15" customHeight="1" x14ac:dyDescent="0.3">
      <c r="A205" s="15" t="s">
        <v>42</v>
      </c>
      <c r="B205" s="20" t="s">
        <v>11</v>
      </c>
      <c r="C205" s="16" t="s">
        <v>73</v>
      </c>
      <c r="D205" s="16">
        <v>253</v>
      </c>
    </row>
    <row r="206" spans="1:4" ht="15" customHeight="1" x14ac:dyDescent="0.3">
      <c r="A206" s="10" t="s">
        <v>42</v>
      </c>
      <c r="B206" s="20" t="s">
        <v>11</v>
      </c>
      <c r="C206" s="11" t="s">
        <v>74</v>
      </c>
      <c r="D206" s="11">
        <v>253</v>
      </c>
    </row>
    <row r="207" spans="1:4" ht="15" customHeight="1" x14ac:dyDescent="0.3">
      <c r="A207" s="15" t="s">
        <v>42</v>
      </c>
      <c r="B207" s="21" t="s">
        <v>12</v>
      </c>
      <c r="C207" s="16" t="s">
        <v>75</v>
      </c>
      <c r="D207" s="16">
        <v>267</v>
      </c>
    </row>
    <row r="208" spans="1:4" ht="15" customHeight="1" x14ac:dyDescent="0.3">
      <c r="A208" s="10" t="s">
        <v>42</v>
      </c>
      <c r="B208" s="21" t="s">
        <v>12</v>
      </c>
      <c r="C208" s="11" t="s">
        <v>71</v>
      </c>
      <c r="D208" s="11">
        <v>209</v>
      </c>
    </row>
    <row r="209" spans="1:4" ht="15" customHeight="1" x14ac:dyDescent="0.3">
      <c r="A209" s="15" t="s">
        <v>42</v>
      </c>
      <c r="B209" s="21" t="s">
        <v>12</v>
      </c>
      <c r="C209" s="16" t="s">
        <v>73</v>
      </c>
      <c r="D209" s="16">
        <v>205</v>
      </c>
    </row>
    <row r="210" spans="1:4" ht="15" customHeight="1" x14ac:dyDescent="0.3">
      <c r="A210" s="10" t="s">
        <v>42</v>
      </c>
      <c r="B210" s="21" t="s">
        <v>12</v>
      </c>
      <c r="C210" s="11" t="s">
        <v>74</v>
      </c>
      <c r="D210" s="11">
        <v>234</v>
      </c>
    </row>
    <row r="211" spans="1:4" ht="15" customHeight="1" x14ac:dyDescent="0.3">
      <c r="A211" s="15" t="s">
        <v>42</v>
      </c>
      <c r="B211" s="21" t="s">
        <v>12</v>
      </c>
      <c r="C211" s="16" t="s">
        <v>76</v>
      </c>
      <c r="D211" s="16">
        <v>291</v>
      </c>
    </row>
    <row r="212" spans="1:4" ht="15" customHeight="1" x14ac:dyDescent="0.3">
      <c r="A212" s="10" t="s">
        <v>43</v>
      </c>
      <c r="B212" s="18" t="s">
        <v>9</v>
      </c>
      <c r="C212" s="11" t="s">
        <v>70</v>
      </c>
      <c r="D212" s="11">
        <v>333</v>
      </c>
    </row>
    <row r="213" spans="1:4" ht="15" customHeight="1" x14ac:dyDescent="0.3">
      <c r="A213" s="15" t="s">
        <v>43</v>
      </c>
      <c r="B213" s="18" t="s">
        <v>9</v>
      </c>
      <c r="C213" s="16" t="s">
        <v>71</v>
      </c>
      <c r="D213" s="16">
        <v>310</v>
      </c>
    </row>
    <row r="214" spans="1:4" ht="15" customHeight="1" x14ac:dyDescent="0.3">
      <c r="A214" s="10" t="s">
        <v>43</v>
      </c>
      <c r="B214" s="18" t="s">
        <v>9</v>
      </c>
      <c r="C214" s="11" t="s">
        <v>72</v>
      </c>
      <c r="D214" s="11">
        <v>310</v>
      </c>
    </row>
    <row r="215" spans="1:4" ht="15" customHeight="1" x14ac:dyDescent="0.3">
      <c r="A215" s="15" t="s">
        <v>43</v>
      </c>
      <c r="B215" s="19" t="s">
        <v>10</v>
      </c>
      <c r="C215" s="16" t="s">
        <v>70</v>
      </c>
      <c r="D215" s="16">
        <v>323</v>
      </c>
    </row>
    <row r="216" spans="1:4" ht="15" customHeight="1" x14ac:dyDescent="0.3">
      <c r="A216" s="10" t="s">
        <v>43</v>
      </c>
      <c r="B216" s="19" t="s">
        <v>10</v>
      </c>
      <c r="C216" s="11" t="s">
        <v>71</v>
      </c>
      <c r="D216" s="11">
        <v>293</v>
      </c>
    </row>
    <row r="217" spans="1:4" ht="15" customHeight="1" x14ac:dyDescent="0.3">
      <c r="A217" s="15" t="s">
        <v>43</v>
      </c>
      <c r="B217" s="19" t="s">
        <v>10</v>
      </c>
      <c r="C217" s="16" t="s">
        <v>72</v>
      </c>
      <c r="D217" s="16">
        <v>297</v>
      </c>
    </row>
    <row r="218" spans="1:4" ht="15" customHeight="1" x14ac:dyDescent="0.3">
      <c r="A218" s="10" t="s">
        <v>43</v>
      </c>
      <c r="B218" s="20" t="s">
        <v>11</v>
      </c>
      <c r="C218" s="11" t="s">
        <v>70</v>
      </c>
      <c r="D218" s="11">
        <v>319</v>
      </c>
    </row>
    <row r="219" spans="1:4" ht="15" customHeight="1" x14ac:dyDescent="0.3">
      <c r="A219" s="15" t="s">
        <v>43</v>
      </c>
      <c r="B219" s="20" t="s">
        <v>11</v>
      </c>
      <c r="C219" s="16" t="s">
        <v>71</v>
      </c>
      <c r="D219" s="16">
        <v>264</v>
      </c>
    </row>
    <row r="220" spans="1:4" ht="15" customHeight="1" x14ac:dyDescent="0.3">
      <c r="A220" s="10" t="s">
        <v>43</v>
      </c>
      <c r="B220" s="20" t="s">
        <v>11</v>
      </c>
      <c r="C220" s="11" t="s">
        <v>73</v>
      </c>
      <c r="D220" s="11">
        <v>270</v>
      </c>
    </row>
    <row r="221" spans="1:4" ht="15" customHeight="1" x14ac:dyDescent="0.3">
      <c r="A221" s="15" t="s">
        <v>43</v>
      </c>
      <c r="B221" s="20" t="s">
        <v>11</v>
      </c>
      <c r="C221" s="16" t="s">
        <v>74</v>
      </c>
      <c r="D221" s="16">
        <v>267</v>
      </c>
    </row>
    <row r="222" spans="1:4" ht="15" customHeight="1" x14ac:dyDescent="0.3">
      <c r="A222" s="10" t="s">
        <v>43</v>
      </c>
      <c r="B222" s="21" t="s">
        <v>12</v>
      </c>
      <c r="C222" s="11" t="s">
        <v>75</v>
      </c>
      <c r="D222" s="11">
        <v>243</v>
      </c>
    </row>
    <row r="223" spans="1:4" ht="15" customHeight="1" x14ac:dyDescent="0.3">
      <c r="A223" s="15" t="s">
        <v>43</v>
      </c>
      <c r="B223" s="21" t="s">
        <v>12</v>
      </c>
      <c r="C223" s="16" t="s">
        <v>71</v>
      </c>
      <c r="D223" s="16">
        <v>216</v>
      </c>
    </row>
    <row r="224" spans="1:4" ht="15" customHeight="1" x14ac:dyDescent="0.3">
      <c r="A224" s="10" t="s">
        <v>43</v>
      </c>
      <c r="B224" s="21" t="s">
        <v>12</v>
      </c>
      <c r="C224" s="11" t="s">
        <v>73</v>
      </c>
      <c r="D224" s="11">
        <v>218</v>
      </c>
    </row>
    <row r="225" spans="1:4" ht="15" customHeight="1" x14ac:dyDescent="0.3">
      <c r="A225" s="15" t="s">
        <v>43</v>
      </c>
      <c r="B225" s="21" t="s">
        <v>12</v>
      </c>
      <c r="C225" s="16" t="s">
        <v>74</v>
      </c>
      <c r="D225" s="16">
        <v>237</v>
      </c>
    </row>
    <row r="226" spans="1:4" ht="15" customHeight="1" x14ac:dyDescent="0.3">
      <c r="A226" s="10" t="s">
        <v>43</v>
      </c>
      <c r="B226" s="21" t="s">
        <v>12</v>
      </c>
      <c r="C226" s="11" t="s">
        <v>76</v>
      </c>
      <c r="D226" s="11">
        <v>296</v>
      </c>
    </row>
    <row r="227" spans="1:4" ht="15" customHeight="1" x14ac:dyDescent="0.3">
      <c r="A227" s="15" t="s">
        <v>44</v>
      </c>
      <c r="B227" s="18" t="s">
        <v>9</v>
      </c>
      <c r="C227" s="16" t="s">
        <v>70</v>
      </c>
      <c r="D227" s="16">
        <v>314</v>
      </c>
    </row>
    <row r="228" spans="1:4" ht="15" customHeight="1" x14ac:dyDescent="0.3">
      <c r="A228" s="10" t="s">
        <v>44</v>
      </c>
      <c r="B228" s="18" t="s">
        <v>9</v>
      </c>
      <c r="C228" s="11" t="s">
        <v>71</v>
      </c>
      <c r="D228" s="11">
        <v>298</v>
      </c>
    </row>
    <row r="229" spans="1:4" ht="15" customHeight="1" x14ac:dyDescent="0.3">
      <c r="A229" s="15" t="s">
        <v>44</v>
      </c>
      <c r="B229" s="18" t="s">
        <v>9</v>
      </c>
      <c r="C229" s="16" t="s">
        <v>72</v>
      </c>
      <c r="D229" s="16">
        <v>299</v>
      </c>
    </row>
    <row r="230" spans="1:4" ht="15" customHeight="1" x14ac:dyDescent="0.3">
      <c r="A230" s="10" t="s">
        <v>44</v>
      </c>
      <c r="B230" s="19" t="s">
        <v>10</v>
      </c>
      <c r="C230" s="11" t="s">
        <v>70</v>
      </c>
      <c r="D230" s="11">
        <v>303</v>
      </c>
    </row>
    <row r="231" spans="1:4" ht="15" customHeight="1" x14ac:dyDescent="0.3">
      <c r="A231" s="15" t="s">
        <v>44</v>
      </c>
      <c r="B231" s="19" t="s">
        <v>10</v>
      </c>
      <c r="C231" s="16" t="s">
        <v>71</v>
      </c>
      <c r="D231" s="16">
        <v>276</v>
      </c>
    </row>
    <row r="232" spans="1:4" ht="15" customHeight="1" x14ac:dyDescent="0.3">
      <c r="A232" s="10" t="s">
        <v>44</v>
      </c>
      <c r="B232" s="19" t="s">
        <v>10</v>
      </c>
      <c r="C232" s="11" t="s">
        <v>72</v>
      </c>
      <c r="D232" s="11">
        <v>278</v>
      </c>
    </row>
    <row r="233" spans="1:4" ht="15" customHeight="1" x14ac:dyDescent="0.3">
      <c r="A233" s="15" t="s">
        <v>44</v>
      </c>
      <c r="B233" s="20" t="s">
        <v>11</v>
      </c>
      <c r="C233" s="16" t="s">
        <v>70</v>
      </c>
      <c r="D233" s="16">
        <v>298</v>
      </c>
    </row>
    <row r="234" spans="1:4" ht="15" customHeight="1" x14ac:dyDescent="0.3">
      <c r="A234" s="10" t="s">
        <v>44</v>
      </c>
      <c r="B234" s="20" t="s">
        <v>11</v>
      </c>
      <c r="C234" s="11" t="s">
        <v>71</v>
      </c>
      <c r="D234" s="11">
        <v>256</v>
      </c>
    </row>
    <row r="235" spans="1:4" ht="15" customHeight="1" x14ac:dyDescent="0.3">
      <c r="A235" s="15" t="s">
        <v>44</v>
      </c>
      <c r="B235" s="20" t="s">
        <v>11</v>
      </c>
      <c r="C235" s="16" t="s">
        <v>73</v>
      </c>
      <c r="D235" s="16">
        <v>250</v>
      </c>
    </row>
    <row r="236" spans="1:4" ht="15" customHeight="1" x14ac:dyDescent="0.3">
      <c r="A236" s="10" t="s">
        <v>44</v>
      </c>
      <c r="B236" s="20" t="s">
        <v>11</v>
      </c>
      <c r="C236" s="11" t="s">
        <v>74</v>
      </c>
      <c r="D236" s="11">
        <v>254</v>
      </c>
    </row>
    <row r="237" spans="1:4" ht="15" customHeight="1" x14ac:dyDescent="0.3">
      <c r="A237" s="15" t="s">
        <v>44</v>
      </c>
      <c r="B237" s="21" t="s">
        <v>12</v>
      </c>
      <c r="C237" s="16" t="s">
        <v>75</v>
      </c>
      <c r="D237" s="16">
        <v>255</v>
      </c>
    </row>
    <row r="238" spans="1:4" ht="15" customHeight="1" x14ac:dyDescent="0.3">
      <c r="A238" s="10" t="s">
        <v>44</v>
      </c>
      <c r="B238" s="21" t="s">
        <v>12</v>
      </c>
      <c r="C238" s="11" t="s">
        <v>71</v>
      </c>
      <c r="D238" s="11">
        <v>218</v>
      </c>
    </row>
    <row r="239" spans="1:4" ht="15" customHeight="1" x14ac:dyDescent="0.3">
      <c r="A239" s="15" t="s">
        <v>44</v>
      </c>
      <c r="B239" s="21" t="s">
        <v>12</v>
      </c>
      <c r="C239" s="16" t="s">
        <v>73</v>
      </c>
      <c r="D239" s="16">
        <v>204</v>
      </c>
    </row>
    <row r="240" spans="1:4" ht="15" customHeight="1" x14ac:dyDescent="0.3">
      <c r="A240" s="10" t="s">
        <v>44</v>
      </c>
      <c r="B240" s="21" t="s">
        <v>12</v>
      </c>
      <c r="C240" s="11" t="s">
        <v>74</v>
      </c>
      <c r="D240" s="11">
        <v>231</v>
      </c>
    </row>
    <row r="241" spans="1:4" ht="15" customHeight="1" x14ac:dyDescent="0.3">
      <c r="A241" s="15" t="s">
        <v>44</v>
      </c>
      <c r="B241" s="21" t="s">
        <v>12</v>
      </c>
      <c r="C241" s="16" t="s">
        <v>76</v>
      </c>
      <c r="D241" s="16">
        <v>269</v>
      </c>
    </row>
    <row r="242" spans="1:4" ht="15" customHeight="1" x14ac:dyDescent="0.3">
      <c r="A242" s="10" t="s">
        <v>45</v>
      </c>
      <c r="B242" s="18" t="s">
        <v>9</v>
      </c>
      <c r="C242" s="11" t="s">
        <v>70</v>
      </c>
      <c r="D242" s="11">
        <v>323</v>
      </c>
    </row>
    <row r="243" spans="1:4" ht="15" customHeight="1" x14ac:dyDescent="0.3">
      <c r="A243" s="15" t="s">
        <v>45</v>
      </c>
      <c r="B243" s="18" t="s">
        <v>9</v>
      </c>
      <c r="C243" s="16" t="s">
        <v>71</v>
      </c>
      <c r="D243" s="16">
        <v>306</v>
      </c>
    </row>
    <row r="244" spans="1:4" ht="15" customHeight="1" x14ac:dyDescent="0.3">
      <c r="A244" s="10" t="s">
        <v>45</v>
      </c>
      <c r="B244" s="18" t="s">
        <v>9</v>
      </c>
      <c r="C244" s="11" t="s">
        <v>72</v>
      </c>
      <c r="D244" s="11">
        <v>307</v>
      </c>
    </row>
    <row r="245" spans="1:4" ht="15" customHeight="1" x14ac:dyDescent="0.3">
      <c r="A245" s="15" t="s">
        <v>45</v>
      </c>
      <c r="B245" s="19" t="s">
        <v>10</v>
      </c>
      <c r="C245" s="16" t="s">
        <v>70</v>
      </c>
      <c r="D245" s="16">
        <v>312</v>
      </c>
    </row>
    <row r="246" spans="1:4" ht="15" customHeight="1" x14ac:dyDescent="0.3">
      <c r="A246" s="10" t="s">
        <v>45</v>
      </c>
      <c r="B246" s="19" t="s">
        <v>10</v>
      </c>
      <c r="C246" s="11" t="s">
        <v>71</v>
      </c>
      <c r="D246" s="11">
        <v>285</v>
      </c>
    </row>
    <row r="247" spans="1:4" ht="15" customHeight="1" x14ac:dyDescent="0.3">
      <c r="A247" s="15" t="s">
        <v>45</v>
      </c>
      <c r="B247" s="19" t="s">
        <v>10</v>
      </c>
      <c r="C247" s="16" t="s">
        <v>72</v>
      </c>
      <c r="D247" s="16">
        <v>278</v>
      </c>
    </row>
    <row r="248" spans="1:4" ht="15" customHeight="1" x14ac:dyDescent="0.3">
      <c r="A248" s="10" t="s">
        <v>45</v>
      </c>
      <c r="B248" s="20" t="s">
        <v>11</v>
      </c>
      <c r="C248" s="11" t="s">
        <v>70</v>
      </c>
      <c r="D248" s="11">
        <v>297</v>
      </c>
    </row>
    <row r="249" spans="1:4" ht="15" customHeight="1" x14ac:dyDescent="0.3">
      <c r="A249" s="15" t="s">
        <v>45</v>
      </c>
      <c r="B249" s="20" t="s">
        <v>11</v>
      </c>
      <c r="C249" s="16" t="s">
        <v>71</v>
      </c>
      <c r="D249" s="16">
        <v>251</v>
      </c>
    </row>
    <row r="250" spans="1:4" ht="15" customHeight="1" x14ac:dyDescent="0.3">
      <c r="A250" s="10" t="s">
        <v>45</v>
      </c>
      <c r="B250" s="20" t="s">
        <v>11</v>
      </c>
      <c r="C250" s="11" t="s">
        <v>73</v>
      </c>
      <c r="D250" s="11">
        <v>248</v>
      </c>
    </row>
    <row r="251" spans="1:4" ht="15" customHeight="1" x14ac:dyDescent="0.3">
      <c r="A251" s="15" t="s">
        <v>45</v>
      </c>
      <c r="B251" s="20" t="s">
        <v>11</v>
      </c>
      <c r="C251" s="16" t="s">
        <v>74</v>
      </c>
      <c r="D251" s="16">
        <v>256</v>
      </c>
    </row>
    <row r="252" spans="1:4" ht="15" customHeight="1" x14ac:dyDescent="0.3">
      <c r="A252" s="10" t="s">
        <v>45</v>
      </c>
      <c r="B252" s="21" t="s">
        <v>12</v>
      </c>
      <c r="C252" s="11" t="s">
        <v>75</v>
      </c>
      <c r="D252" s="11">
        <v>242</v>
      </c>
    </row>
    <row r="253" spans="1:4" ht="15" customHeight="1" x14ac:dyDescent="0.3">
      <c r="A253" s="15" t="s">
        <v>45</v>
      </c>
      <c r="B253" s="21" t="s">
        <v>12</v>
      </c>
      <c r="C253" s="16" t="s">
        <v>71</v>
      </c>
      <c r="D253" s="16">
        <v>219</v>
      </c>
    </row>
    <row r="254" spans="1:4" ht="15" customHeight="1" x14ac:dyDescent="0.3">
      <c r="A254" s="10" t="s">
        <v>45</v>
      </c>
      <c r="B254" s="21" t="s">
        <v>12</v>
      </c>
      <c r="C254" s="11" t="s">
        <v>73</v>
      </c>
      <c r="D254" s="11">
        <v>206</v>
      </c>
    </row>
    <row r="255" spans="1:4" ht="15" customHeight="1" x14ac:dyDescent="0.3">
      <c r="A255" s="15" t="s">
        <v>45</v>
      </c>
      <c r="B255" s="21" t="s">
        <v>12</v>
      </c>
      <c r="C255" s="16" t="s">
        <v>74</v>
      </c>
      <c r="D255" s="16">
        <v>235</v>
      </c>
    </row>
    <row r="256" spans="1:4" ht="15" customHeight="1" x14ac:dyDescent="0.3">
      <c r="A256" s="10" t="s">
        <v>45</v>
      </c>
      <c r="B256" s="21" t="s">
        <v>12</v>
      </c>
      <c r="C256" s="11" t="s">
        <v>76</v>
      </c>
      <c r="D256" s="11">
        <v>283</v>
      </c>
    </row>
    <row r="257" spans="1:4" ht="15" customHeight="1" x14ac:dyDescent="0.3">
      <c r="A257" s="15" t="s">
        <v>46</v>
      </c>
      <c r="B257" s="18" t="s">
        <v>9</v>
      </c>
      <c r="C257" s="16" t="s">
        <v>70</v>
      </c>
      <c r="D257" s="16">
        <v>342</v>
      </c>
    </row>
    <row r="258" spans="1:4" ht="15" customHeight="1" x14ac:dyDescent="0.3">
      <c r="A258" s="10" t="s">
        <v>46</v>
      </c>
      <c r="B258" s="18" t="s">
        <v>9</v>
      </c>
      <c r="C258" s="11" t="s">
        <v>71</v>
      </c>
      <c r="D258" s="11">
        <v>313</v>
      </c>
    </row>
    <row r="259" spans="1:4" ht="15" customHeight="1" x14ac:dyDescent="0.3">
      <c r="A259" s="15" t="s">
        <v>46</v>
      </c>
      <c r="B259" s="18" t="s">
        <v>9</v>
      </c>
      <c r="C259" s="16" t="s">
        <v>72</v>
      </c>
      <c r="D259" s="16">
        <v>318</v>
      </c>
    </row>
    <row r="260" spans="1:4" ht="15" customHeight="1" x14ac:dyDescent="0.3">
      <c r="A260" s="10" t="s">
        <v>46</v>
      </c>
      <c r="B260" s="19" t="s">
        <v>10</v>
      </c>
      <c r="C260" s="11" t="s">
        <v>70</v>
      </c>
      <c r="D260" s="11">
        <v>313</v>
      </c>
    </row>
    <row r="261" spans="1:4" ht="15" customHeight="1" x14ac:dyDescent="0.3">
      <c r="A261" s="15" t="s">
        <v>46</v>
      </c>
      <c r="B261" s="19" t="s">
        <v>10</v>
      </c>
      <c r="C261" s="16" t="s">
        <v>71</v>
      </c>
      <c r="D261" s="16">
        <v>279</v>
      </c>
    </row>
    <row r="262" spans="1:4" ht="15" customHeight="1" x14ac:dyDescent="0.3">
      <c r="A262" s="10" t="s">
        <v>46</v>
      </c>
      <c r="B262" s="19" t="s">
        <v>10</v>
      </c>
      <c r="C262" s="11" t="s">
        <v>72</v>
      </c>
      <c r="D262" s="11">
        <v>283</v>
      </c>
    </row>
    <row r="263" spans="1:4" ht="15" customHeight="1" x14ac:dyDescent="0.3">
      <c r="A263" s="15" t="s">
        <v>46</v>
      </c>
      <c r="B263" s="20" t="s">
        <v>11</v>
      </c>
      <c r="C263" s="16" t="s">
        <v>70</v>
      </c>
      <c r="D263" s="16">
        <v>312</v>
      </c>
    </row>
    <row r="264" spans="1:4" ht="15" customHeight="1" x14ac:dyDescent="0.3">
      <c r="A264" s="10" t="s">
        <v>46</v>
      </c>
      <c r="B264" s="20" t="s">
        <v>11</v>
      </c>
      <c r="C264" s="11" t="s">
        <v>71</v>
      </c>
      <c r="D264" s="11">
        <v>240</v>
      </c>
    </row>
    <row r="265" spans="1:4" ht="15" customHeight="1" x14ac:dyDescent="0.3">
      <c r="A265" s="15" t="s">
        <v>46</v>
      </c>
      <c r="B265" s="20" t="s">
        <v>11</v>
      </c>
      <c r="C265" s="16" t="s">
        <v>73</v>
      </c>
      <c r="D265" s="16">
        <v>252</v>
      </c>
    </row>
    <row r="266" spans="1:4" ht="15" customHeight="1" x14ac:dyDescent="0.3">
      <c r="A266" s="10" t="s">
        <v>46</v>
      </c>
      <c r="B266" s="20" t="s">
        <v>11</v>
      </c>
      <c r="C266" s="11" t="s">
        <v>74</v>
      </c>
      <c r="D266" s="11">
        <v>250</v>
      </c>
    </row>
    <row r="267" spans="1:4" ht="15" customHeight="1" x14ac:dyDescent="0.3">
      <c r="A267" s="15" t="s">
        <v>46</v>
      </c>
      <c r="B267" s="21" t="s">
        <v>12</v>
      </c>
      <c r="C267" s="16" t="s">
        <v>75</v>
      </c>
      <c r="D267" s="16">
        <v>278</v>
      </c>
    </row>
    <row r="268" spans="1:4" ht="15" customHeight="1" x14ac:dyDescent="0.3">
      <c r="A268" s="10" t="s">
        <v>46</v>
      </c>
      <c r="B268" s="21" t="s">
        <v>12</v>
      </c>
      <c r="C268" s="11" t="s">
        <v>71</v>
      </c>
      <c r="D268" s="11">
        <v>210</v>
      </c>
    </row>
    <row r="269" spans="1:4" ht="15" customHeight="1" x14ac:dyDescent="0.3">
      <c r="A269" s="15" t="s">
        <v>46</v>
      </c>
      <c r="B269" s="21" t="s">
        <v>12</v>
      </c>
      <c r="C269" s="16" t="s">
        <v>73</v>
      </c>
      <c r="D269" s="16">
        <v>208</v>
      </c>
    </row>
    <row r="270" spans="1:4" ht="15" customHeight="1" x14ac:dyDescent="0.3">
      <c r="A270" s="10" t="s">
        <v>46</v>
      </c>
      <c r="B270" s="21" t="s">
        <v>12</v>
      </c>
      <c r="C270" s="11" t="s">
        <v>74</v>
      </c>
      <c r="D270" s="11">
        <v>239</v>
      </c>
    </row>
    <row r="271" spans="1:4" ht="15" customHeight="1" x14ac:dyDescent="0.3">
      <c r="A271" s="15" t="s">
        <v>46</v>
      </c>
      <c r="B271" s="21" t="s">
        <v>12</v>
      </c>
      <c r="C271" s="16" t="s">
        <v>76</v>
      </c>
      <c r="D271" s="16">
        <v>300</v>
      </c>
    </row>
    <row r="272" spans="1:4" ht="15" customHeight="1" x14ac:dyDescent="0.3">
      <c r="A272" s="10" t="s">
        <v>47</v>
      </c>
      <c r="B272" s="18" t="s">
        <v>9</v>
      </c>
      <c r="C272" s="11" t="s">
        <v>70</v>
      </c>
      <c r="D272" s="11">
        <v>309</v>
      </c>
    </row>
    <row r="273" spans="1:4" ht="15" customHeight="1" x14ac:dyDescent="0.3">
      <c r="A273" s="15" t="s">
        <v>47</v>
      </c>
      <c r="B273" s="18" t="s">
        <v>9</v>
      </c>
      <c r="C273" s="16" t="s">
        <v>71</v>
      </c>
      <c r="D273" s="16">
        <v>283</v>
      </c>
    </row>
    <row r="274" spans="1:4" ht="15" customHeight="1" x14ac:dyDescent="0.3">
      <c r="A274" s="10" t="s">
        <v>47</v>
      </c>
      <c r="B274" s="18" t="s">
        <v>9</v>
      </c>
      <c r="C274" s="11" t="s">
        <v>72</v>
      </c>
      <c r="D274" s="11">
        <v>294</v>
      </c>
    </row>
    <row r="275" spans="1:4" ht="15" customHeight="1" x14ac:dyDescent="0.3">
      <c r="A275" s="15" t="s">
        <v>47</v>
      </c>
      <c r="B275" s="19" t="s">
        <v>10</v>
      </c>
      <c r="C275" s="16" t="s">
        <v>70</v>
      </c>
      <c r="D275" s="16">
        <v>309</v>
      </c>
    </row>
    <row r="276" spans="1:4" ht="15" customHeight="1" x14ac:dyDescent="0.3">
      <c r="A276" s="10" t="s">
        <v>47</v>
      </c>
      <c r="B276" s="19" t="s">
        <v>10</v>
      </c>
      <c r="C276" s="11" t="s">
        <v>71</v>
      </c>
      <c r="D276" s="11">
        <v>280</v>
      </c>
    </row>
    <row r="277" spans="1:4" ht="15" customHeight="1" x14ac:dyDescent="0.3">
      <c r="A277" s="15" t="s">
        <v>47</v>
      </c>
      <c r="B277" s="19" t="s">
        <v>10</v>
      </c>
      <c r="C277" s="16" t="s">
        <v>72</v>
      </c>
      <c r="D277" s="16">
        <v>285</v>
      </c>
    </row>
    <row r="278" spans="1:4" ht="15" customHeight="1" x14ac:dyDescent="0.3">
      <c r="A278" s="10" t="s">
        <v>47</v>
      </c>
      <c r="B278" s="20" t="s">
        <v>11</v>
      </c>
      <c r="C278" s="11" t="s">
        <v>70</v>
      </c>
      <c r="D278" s="11">
        <v>321</v>
      </c>
    </row>
    <row r="279" spans="1:4" ht="15" customHeight="1" x14ac:dyDescent="0.3">
      <c r="A279" s="15" t="s">
        <v>47</v>
      </c>
      <c r="B279" s="20" t="s">
        <v>11</v>
      </c>
      <c r="C279" s="16" t="s">
        <v>71</v>
      </c>
      <c r="D279" s="16">
        <v>253</v>
      </c>
    </row>
    <row r="280" spans="1:4" ht="15" customHeight="1" x14ac:dyDescent="0.3">
      <c r="A280" s="10" t="s">
        <v>47</v>
      </c>
      <c r="B280" s="20" t="s">
        <v>11</v>
      </c>
      <c r="C280" s="11" t="s">
        <v>73</v>
      </c>
      <c r="D280" s="11">
        <v>257</v>
      </c>
    </row>
    <row r="281" spans="1:4" ht="15" customHeight="1" x14ac:dyDescent="0.3">
      <c r="A281" s="15" t="s">
        <v>47</v>
      </c>
      <c r="B281" s="20" t="s">
        <v>11</v>
      </c>
      <c r="C281" s="16" t="s">
        <v>74</v>
      </c>
      <c r="D281" s="16">
        <v>261</v>
      </c>
    </row>
    <row r="282" spans="1:4" ht="15" customHeight="1" x14ac:dyDescent="0.3">
      <c r="A282" s="10" t="s">
        <v>47</v>
      </c>
      <c r="B282" s="21" t="s">
        <v>12</v>
      </c>
      <c r="C282" s="11" t="s">
        <v>75</v>
      </c>
      <c r="D282" s="11">
        <v>235</v>
      </c>
    </row>
    <row r="283" spans="1:4" ht="15" customHeight="1" x14ac:dyDescent="0.3">
      <c r="A283" s="15" t="s">
        <v>47</v>
      </c>
      <c r="B283" s="21" t="s">
        <v>12</v>
      </c>
      <c r="C283" s="16" t="s">
        <v>71</v>
      </c>
      <c r="D283" s="16">
        <v>208</v>
      </c>
    </row>
    <row r="284" spans="1:4" ht="15" customHeight="1" x14ac:dyDescent="0.3">
      <c r="A284" s="10" t="s">
        <v>47</v>
      </c>
      <c r="B284" s="21" t="s">
        <v>12</v>
      </c>
      <c r="C284" s="11" t="s">
        <v>73</v>
      </c>
      <c r="D284" s="11">
        <v>218</v>
      </c>
    </row>
    <row r="285" spans="1:4" ht="15" customHeight="1" x14ac:dyDescent="0.3">
      <c r="A285" s="15" t="s">
        <v>47</v>
      </c>
      <c r="B285" s="21" t="s">
        <v>12</v>
      </c>
      <c r="C285" s="16" t="s">
        <v>74</v>
      </c>
      <c r="D285" s="16">
        <v>237</v>
      </c>
    </row>
    <row r="286" spans="1:4" ht="15" customHeight="1" x14ac:dyDescent="0.3">
      <c r="A286" s="10" t="s">
        <v>47</v>
      </c>
      <c r="B286" s="21" t="s">
        <v>12</v>
      </c>
      <c r="C286" s="11" t="s">
        <v>76</v>
      </c>
      <c r="D286" s="11">
        <v>305</v>
      </c>
    </row>
    <row r="287" spans="1:4" ht="15" customHeight="1" x14ac:dyDescent="0.3">
      <c r="A287" s="15" t="s">
        <v>48</v>
      </c>
      <c r="B287" s="18" t="s">
        <v>9</v>
      </c>
      <c r="C287" s="16" t="s">
        <v>70</v>
      </c>
      <c r="D287" s="16">
        <v>318</v>
      </c>
    </row>
    <row r="288" spans="1:4" ht="15" customHeight="1" x14ac:dyDescent="0.3">
      <c r="A288" s="10" t="s">
        <v>48</v>
      </c>
      <c r="B288" s="18" t="s">
        <v>9</v>
      </c>
      <c r="C288" s="11" t="s">
        <v>71</v>
      </c>
      <c r="D288" s="11">
        <v>298</v>
      </c>
    </row>
    <row r="289" spans="1:4" ht="15" customHeight="1" x14ac:dyDescent="0.3">
      <c r="A289" s="15" t="s">
        <v>48</v>
      </c>
      <c r="B289" s="18" t="s">
        <v>9</v>
      </c>
      <c r="C289" s="16" t="s">
        <v>72</v>
      </c>
      <c r="D289" s="16">
        <v>303</v>
      </c>
    </row>
    <row r="290" spans="1:4" ht="15" customHeight="1" x14ac:dyDescent="0.3">
      <c r="A290" s="10" t="s">
        <v>48</v>
      </c>
      <c r="B290" s="19" t="s">
        <v>10</v>
      </c>
      <c r="C290" s="11" t="s">
        <v>70</v>
      </c>
      <c r="D290" s="11">
        <v>300</v>
      </c>
    </row>
    <row r="291" spans="1:4" ht="15" customHeight="1" x14ac:dyDescent="0.3">
      <c r="A291" s="15" t="s">
        <v>48</v>
      </c>
      <c r="B291" s="19" t="s">
        <v>10</v>
      </c>
      <c r="C291" s="16" t="s">
        <v>71</v>
      </c>
      <c r="D291" s="16">
        <v>280</v>
      </c>
    </row>
    <row r="292" spans="1:4" ht="15" customHeight="1" x14ac:dyDescent="0.3">
      <c r="A292" s="10" t="s">
        <v>48</v>
      </c>
      <c r="B292" s="19" t="s">
        <v>10</v>
      </c>
      <c r="C292" s="11" t="s">
        <v>72</v>
      </c>
      <c r="D292" s="11">
        <v>276</v>
      </c>
    </row>
    <row r="293" spans="1:4" ht="15" customHeight="1" x14ac:dyDescent="0.3">
      <c r="A293" s="15" t="s">
        <v>48</v>
      </c>
      <c r="B293" s="20" t="s">
        <v>11</v>
      </c>
      <c r="C293" s="16" t="s">
        <v>70</v>
      </c>
      <c r="D293" s="16">
        <v>303</v>
      </c>
    </row>
    <row r="294" spans="1:4" ht="15" customHeight="1" x14ac:dyDescent="0.3">
      <c r="A294" s="10" t="s">
        <v>48</v>
      </c>
      <c r="B294" s="20" t="s">
        <v>11</v>
      </c>
      <c r="C294" s="11" t="s">
        <v>71</v>
      </c>
      <c r="D294" s="11">
        <v>247</v>
      </c>
    </row>
    <row r="295" spans="1:4" ht="15" customHeight="1" x14ac:dyDescent="0.3">
      <c r="A295" s="15" t="s">
        <v>48</v>
      </c>
      <c r="B295" s="20" t="s">
        <v>11</v>
      </c>
      <c r="C295" s="16" t="s">
        <v>73</v>
      </c>
      <c r="D295" s="16">
        <v>245</v>
      </c>
    </row>
    <row r="296" spans="1:4" ht="15" customHeight="1" x14ac:dyDescent="0.3">
      <c r="A296" s="10" t="s">
        <v>48</v>
      </c>
      <c r="B296" s="20" t="s">
        <v>11</v>
      </c>
      <c r="C296" s="11" t="s">
        <v>74</v>
      </c>
      <c r="D296" s="11">
        <v>244</v>
      </c>
    </row>
    <row r="297" spans="1:4" ht="15" customHeight="1" x14ac:dyDescent="0.3">
      <c r="A297" s="15" t="s">
        <v>48</v>
      </c>
      <c r="B297" s="21" t="s">
        <v>12</v>
      </c>
      <c r="C297" s="16" t="s">
        <v>75</v>
      </c>
      <c r="D297" s="16">
        <v>233</v>
      </c>
    </row>
    <row r="298" spans="1:4" ht="15" customHeight="1" x14ac:dyDescent="0.3">
      <c r="A298" s="10" t="s">
        <v>48</v>
      </c>
      <c r="B298" s="21" t="s">
        <v>12</v>
      </c>
      <c r="C298" s="11" t="s">
        <v>71</v>
      </c>
      <c r="D298" s="11">
        <v>201</v>
      </c>
    </row>
    <row r="299" spans="1:4" ht="15" customHeight="1" x14ac:dyDescent="0.3">
      <c r="A299" s="15" t="s">
        <v>48</v>
      </c>
      <c r="B299" s="21" t="s">
        <v>12</v>
      </c>
      <c r="C299" s="16" t="s">
        <v>73</v>
      </c>
      <c r="D299" s="16">
        <v>212</v>
      </c>
    </row>
    <row r="300" spans="1:4" ht="15" customHeight="1" x14ac:dyDescent="0.3">
      <c r="A300" s="10" t="s">
        <v>48</v>
      </c>
      <c r="B300" s="21" t="s">
        <v>12</v>
      </c>
      <c r="C300" s="11" t="s">
        <v>74</v>
      </c>
      <c r="D300" s="11">
        <v>230</v>
      </c>
    </row>
    <row r="301" spans="1:4" ht="15" customHeight="1" x14ac:dyDescent="0.3">
      <c r="A301" s="15" t="s">
        <v>48</v>
      </c>
      <c r="B301" s="21" t="s">
        <v>12</v>
      </c>
      <c r="C301" s="16" t="s">
        <v>76</v>
      </c>
      <c r="D301" s="16">
        <v>290</v>
      </c>
    </row>
    <row r="302" spans="1:4" ht="15" customHeight="1" x14ac:dyDescent="0.3">
      <c r="A302" s="10" t="s">
        <v>49</v>
      </c>
      <c r="B302" s="18" t="s">
        <v>9</v>
      </c>
      <c r="C302" s="11" t="s">
        <v>70</v>
      </c>
      <c r="D302" s="11">
        <v>331</v>
      </c>
    </row>
    <row r="303" spans="1:4" ht="15" customHeight="1" x14ac:dyDescent="0.3">
      <c r="A303" s="15" t="s">
        <v>49</v>
      </c>
      <c r="B303" s="18" t="s">
        <v>9</v>
      </c>
      <c r="C303" s="16" t="s">
        <v>71</v>
      </c>
      <c r="D303" s="16">
        <v>315</v>
      </c>
    </row>
    <row r="304" spans="1:4" ht="15" customHeight="1" x14ac:dyDescent="0.3">
      <c r="A304" s="10" t="s">
        <v>49</v>
      </c>
      <c r="B304" s="18" t="s">
        <v>9</v>
      </c>
      <c r="C304" s="11" t="s">
        <v>72</v>
      </c>
      <c r="D304" s="11">
        <v>316</v>
      </c>
    </row>
    <row r="305" spans="1:4" ht="15" customHeight="1" x14ac:dyDescent="0.3">
      <c r="A305" s="15" t="s">
        <v>49</v>
      </c>
      <c r="B305" s="19" t="s">
        <v>10</v>
      </c>
      <c r="C305" s="16" t="s">
        <v>70</v>
      </c>
      <c r="D305" s="16">
        <v>316</v>
      </c>
    </row>
    <row r="306" spans="1:4" ht="15" customHeight="1" x14ac:dyDescent="0.3">
      <c r="A306" s="10" t="s">
        <v>49</v>
      </c>
      <c r="B306" s="19" t="s">
        <v>10</v>
      </c>
      <c r="C306" s="11" t="s">
        <v>71</v>
      </c>
      <c r="D306" s="11">
        <v>296</v>
      </c>
    </row>
    <row r="307" spans="1:4" ht="15" customHeight="1" x14ac:dyDescent="0.3">
      <c r="A307" s="15" t="s">
        <v>49</v>
      </c>
      <c r="B307" s="19" t="s">
        <v>10</v>
      </c>
      <c r="C307" s="16" t="s">
        <v>72</v>
      </c>
      <c r="D307" s="16">
        <v>297</v>
      </c>
    </row>
    <row r="308" spans="1:4" ht="15" customHeight="1" x14ac:dyDescent="0.3">
      <c r="A308" s="10" t="s">
        <v>49</v>
      </c>
      <c r="B308" s="20" t="s">
        <v>11</v>
      </c>
      <c r="C308" s="11" t="s">
        <v>70</v>
      </c>
      <c r="D308" s="11">
        <v>306</v>
      </c>
    </row>
    <row r="309" spans="1:4" ht="15" customHeight="1" x14ac:dyDescent="0.3">
      <c r="A309" s="15" t="s">
        <v>49</v>
      </c>
      <c r="B309" s="20" t="s">
        <v>11</v>
      </c>
      <c r="C309" s="16" t="s">
        <v>71</v>
      </c>
      <c r="D309" s="16">
        <v>270</v>
      </c>
    </row>
    <row r="310" spans="1:4" ht="15" customHeight="1" x14ac:dyDescent="0.3">
      <c r="A310" s="10" t="s">
        <v>49</v>
      </c>
      <c r="B310" s="20" t="s">
        <v>11</v>
      </c>
      <c r="C310" s="11" t="s">
        <v>73</v>
      </c>
      <c r="D310" s="11">
        <v>258</v>
      </c>
    </row>
    <row r="311" spans="1:4" ht="15" customHeight="1" x14ac:dyDescent="0.3">
      <c r="A311" s="15" t="s">
        <v>49</v>
      </c>
      <c r="B311" s="20" t="s">
        <v>11</v>
      </c>
      <c r="C311" s="16" t="s">
        <v>74</v>
      </c>
      <c r="D311" s="16">
        <v>264</v>
      </c>
    </row>
    <row r="312" spans="1:4" ht="15" customHeight="1" x14ac:dyDescent="0.3">
      <c r="A312" s="10" t="s">
        <v>49</v>
      </c>
      <c r="B312" s="21" t="s">
        <v>12</v>
      </c>
      <c r="C312" s="11" t="s">
        <v>75</v>
      </c>
      <c r="D312" s="11">
        <v>258</v>
      </c>
    </row>
    <row r="313" spans="1:4" ht="15" customHeight="1" x14ac:dyDescent="0.3">
      <c r="A313" s="15" t="s">
        <v>49</v>
      </c>
      <c r="B313" s="21" t="s">
        <v>12</v>
      </c>
      <c r="C313" s="16" t="s">
        <v>71</v>
      </c>
      <c r="D313" s="16">
        <v>226</v>
      </c>
    </row>
    <row r="314" spans="1:4" ht="15" customHeight="1" x14ac:dyDescent="0.3">
      <c r="A314" s="10" t="s">
        <v>49</v>
      </c>
      <c r="B314" s="21" t="s">
        <v>12</v>
      </c>
      <c r="C314" s="11" t="s">
        <v>73</v>
      </c>
      <c r="D314" s="11">
        <v>206</v>
      </c>
    </row>
    <row r="315" spans="1:4" ht="15" customHeight="1" x14ac:dyDescent="0.3">
      <c r="A315" s="15" t="s">
        <v>49</v>
      </c>
      <c r="B315" s="21" t="s">
        <v>12</v>
      </c>
      <c r="C315" s="16" t="s">
        <v>74</v>
      </c>
      <c r="D315" s="16">
        <v>229</v>
      </c>
    </row>
    <row r="316" spans="1:4" ht="15" customHeight="1" x14ac:dyDescent="0.3">
      <c r="A316" s="10" t="s">
        <v>49</v>
      </c>
      <c r="B316" s="21" t="s">
        <v>12</v>
      </c>
      <c r="C316" s="11" t="s">
        <v>76</v>
      </c>
      <c r="D316" s="11">
        <v>273</v>
      </c>
    </row>
    <row r="317" spans="1:4" ht="15" customHeight="1" x14ac:dyDescent="0.3">
      <c r="A317" s="15" t="s">
        <v>50</v>
      </c>
      <c r="B317" s="18" t="s">
        <v>9</v>
      </c>
      <c r="C317" s="16" t="s">
        <v>70</v>
      </c>
      <c r="D317" s="16">
        <v>333</v>
      </c>
    </row>
    <row r="318" spans="1:4" ht="15" customHeight="1" x14ac:dyDescent="0.3">
      <c r="A318" s="10" t="s">
        <v>50</v>
      </c>
      <c r="B318" s="18" t="s">
        <v>9</v>
      </c>
      <c r="C318" s="11" t="s">
        <v>71</v>
      </c>
      <c r="D318" s="11">
        <v>316</v>
      </c>
    </row>
    <row r="319" spans="1:4" ht="15" customHeight="1" x14ac:dyDescent="0.3">
      <c r="A319" s="15" t="s">
        <v>50</v>
      </c>
      <c r="B319" s="18" t="s">
        <v>9</v>
      </c>
      <c r="C319" s="16" t="s">
        <v>72</v>
      </c>
      <c r="D319" s="16">
        <v>316</v>
      </c>
    </row>
    <row r="320" spans="1:4" ht="15" customHeight="1" x14ac:dyDescent="0.3">
      <c r="A320" s="10" t="s">
        <v>50</v>
      </c>
      <c r="B320" s="19" t="s">
        <v>10</v>
      </c>
      <c r="C320" s="11" t="s">
        <v>70</v>
      </c>
      <c r="D320" s="11">
        <v>317</v>
      </c>
    </row>
    <row r="321" spans="1:4" ht="15" customHeight="1" x14ac:dyDescent="0.3">
      <c r="A321" s="15" t="s">
        <v>50</v>
      </c>
      <c r="B321" s="19" t="s">
        <v>10</v>
      </c>
      <c r="C321" s="16" t="s">
        <v>71</v>
      </c>
      <c r="D321" s="16">
        <v>287</v>
      </c>
    </row>
    <row r="322" spans="1:4" ht="15" customHeight="1" x14ac:dyDescent="0.3">
      <c r="A322" s="10" t="s">
        <v>50</v>
      </c>
      <c r="B322" s="19" t="s">
        <v>10</v>
      </c>
      <c r="C322" s="11" t="s">
        <v>72</v>
      </c>
      <c r="D322" s="11">
        <v>291</v>
      </c>
    </row>
    <row r="323" spans="1:4" ht="15" customHeight="1" x14ac:dyDescent="0.3">
      <c r="A323" s="15" t="s">
        <v>50</v>
      </c>
      <c r="B323" s="20" t="s">
        <v>11</v>
      </c>
      <c r="C323" s="16" t="s">
        <v>70</v>
      </c>
      <c r="D323" s="16">
        <v>310</v>
      </c>
    </row>
    <row r="324" spans="1:4" ht="15" customHeight="1" x14ac:dyDescent="0.3">
      <c r="A324" s="10" t="s">
        <v>50</v>
      </c>
      <c r="B324" s="20" t="s">
        <v>11</v>
      </c>
      <c r="C324" s="11" t="s">
        <v>71</v>
      </c>
      <c r="D324" s="11">
        <v>250</v>
      </c>
    </row>
    <row r="325" spans="1:4" ht="15" customHeight="1" x14ac:dyDescent="0.3">
      <c r="A325" s="15" t="s">
        <v>50</v>
      </c>
      <c r="B325" s="20" t="s">
        <v>11</v>
      </c>
      <c r="C325" s="16" t="s">
        <v>73</v>
      </c>
      <c r="D325" s="16">
        <v>248</v>
      </c>
    </row>
    <row r="326" spans="1:4" ht="15" customHeight="1" x14ac:dyDescent="0.3">
      <c r="A326" s="10" t="s">
        <v>50</v>
      </c>
      <c r="B326" s="20" t="s">
        <v>11</v>
      </c>
      <c r="C326" s="11" t="s">
        <v>74</v>
      </c>
      <c r="D326" s="11">
        <v>257</v>
      </c>
    </row>
    <row r="327" spans="1:4" ht="15" customHeight="1" x14ac:dyDescent="0.3">
      <c r="A327" s="15" t="s">
        <v>50</v>
      </c>
      <c r="B327" s="21" t="s">
        <v>12</v>
      </c>
      <c r="C327" s="16" t="s">
        <v>75</v>
      </c>
      <c r="D327" s="16">
        <v>267</v>
      </c>
    </row>
    <row r="328" spans="1:4" ht="15" customHeight="1" x14ac:dyDescent="0.3">
      <c r="A328" s="10" t="s">
        <v>50</v>
      </c>
      <c r="B328" s="21" t="s">
        <v>12</v>
      </c>
      <c r="C328" s="11" t="s">
        <v>71</v>
      </c>
      <c r="D328" s="11">
        <v>211</v>
      </c>
    </row>
    <row r="329" spans="1:4" ht="15" customHeight="1" x14ac:dyDescent="0.3">
      <c r="A329" s="15" t="s">
        <v>50</v>
      </c>
      <c r="B329" s="21" t="s">
        <v>12</v>
      </c>
      <c r="C329" s="16" t="s">
        <v>73</v>
      </c>
      <c r="D329" s="16">
        <v>202</v>
      </c>
    </row>
    <row r="330" spans="1:4" ht="15" customHeight="1" x14ac:dyDescent="0.3">
      <c r="A330" s="10" t="s">
        <v>50</v>
      </c>
      <c r="B330" s="21" t="s">
        <v>12</v>
      </c>
      <c r="C330" s="11" t="s">
        <v>74</v>
      </c>
      <c r="D330" s="11">
        <v>233</v>
      </c>
    </row>
    <row r="331" spans="1:4" ht="15" customHeight="1" x14ac:dyDescent="0.3">
      <c r="A331" s="15" t="s">
        <v>50</v>
      </c>
      <c r="B331" s="21" t="s">
        <v>12</v>
      </c>
      <c r="C331" s="16" t="s">
        <v>76</v>
      </c>
      <c r="D331" s="16">
        <v>286</v>
      </c>
    </row>
    <row r="332" spans="1:4" ht="15" customHeight="1" x14ac:dyDescent="0.3">
      <c r="A332" s="10" t="s">
        <v>51</v>
      </c>
      <c r="B332" s="18" t="s">
        <v>9</v>
      </c>
      <c r="C332" s="11" t="s">
        <v>70</v>
      </c>
      <c r="D332" s="11">
        <v>332</v>
      </c>
    </row>
    <row r="333" spans="1:4" ht="15" customHeight="1" x14ac:dyDescent="0.3">
      <c r="A333" s="15" t="s">
        <v>51</v>
      </c>
      <c r="B333" s="18" t="s">
        <v>9</v>
      </c>
      <c r="C333" s="16" t="s">
        <v>71</v>
      </c>
      <c r="D333" s="16">
        <v>310</v>
      </c>
    </row>
    <row r="334" spans="1:4" ht="15" customHeight="1" x14ac:dyDescent="0.3">
      <c r="A334" s="10" t="s">
        <v>51</v>
      </c>
      <c r="B334" s="18" t="s">
        <v>9</v>
      </c>
      <c r="C334" s="11" t="s">
        <v>72</v>
      </c>
      <c r="D334" s="11">
        <v>316</v>
      </c>
    </row>
    <row r="335" spans="1:4" ht="15" customHeight="1" x14ac:dyDescent="0.3">
      <c r="A335" s="15" t="s">
        <v>51</v>
      </c>
      <c r="B335" s="19" t="s">
        <v>10</v>
      </c>
      <c r="C335" s="16" t="s">
        <v>70</v>
      </c>
      <c r="D335" s="16">
        <v>322</v>
      </c>
    </row>
    <row r="336" spans="1:4" ht="15" customHeight="1" x14ac:dyDescent="0.3">
      <c r="A336" s="10" t="s">
        <v>51</v>
      </c>
      <c r="B336" s="19" t="s">
        <v>10</v>
      </c>
      <c r="C336" s="11" t="s">
        <v>71</v>
      </c>
      <c r="D336" s="11">
        <v>286</v>
      </c>
    </row>
    <row r="337" spans="1:4" ht="15" customHeight="1" x14ac:dyDescent="0.3">
      <c r="A337" s="15" t="s">
        <v>51</v>
      </c>
      <c r="B337" s="19" t="s">
        <v>10</v>
      </c>
      <c r="C337" s="16" t="s">
        <v>72</v>
      </c>
      <c r="D337" s="16">
        <v>288</v>
      </c>
    </row>
    <row r="338" spans="1:4" ht="15" customHeight="1" x14ac:dyDescent="0.3">
      <c r="A338" s="10" t="s">
        <v>51</v>
      </c>
      <c r="B338" s="20" t="s">
        <v>11</v>
      </c>
      <c r="C338" s="11" t="s">
        <v>70</v>
      </c>
      <c r="D338" s="11">
        <v>320</v>
      </c>
    </row>
    <row r="339" spans="1:4" ht="15" customHeight="1" x14ac:dyDescent="0.3">
      <c r="A339" s="15" t="s">
        <v>51</v>
      </c>
      <c r="B339" s="20" t="s">
        <v>11</v>
      </c>
      <c r="C339" s="16" t="s">
        <v>71</v>
      </c>
      <c r="D339" s="16">
        <v>259</v>
      </c>
    </row>
    <row r="340" spans="1:4" ht="15" customHeight="1" x14ac:dyDescent="0.3">
      <c r="A340" s="10" t="s">
        <v>51</v>
      </c>
      <c r="B340" s="20" t="s">
        <v>11</v>
      </c>
      <c r="C340" s="11" t="s">
        <v>73</v>
      </c>
      <c r="D340" s="11">
        <v>262</v>
      </c>
    </row>
    <row r="341" spans="1:4" ht="15" customHeight="1" x14ac:dyDescent="0.3">
      <c r="A341" s="15" t="s">
        <v>51</v>
      </c>
      <c r="B341" s="20" t="s">
        <v>11</v>
      </c>
      <c r="C341" s="16" t="s">
        <v>74</v>
      </c>
      <c r="D341" s="16">
        <v>259</v>
      </c>
    </row>
    <row r="342" spans="1:4" ht="15" customHeight="1" x14ac:dyDescent="0.3">
      <c r="A342" s="10" t="s">
        <v>51</v>
      </c>
      <c r="B342" s="21" t="s">
        <v>12</v>
      </c>
      <c r="C342" s="11" t="s">
        <v>75</v>
      </c>
      <c r="D342" s="11">
        <v>218</v>
      </c>
    </row>
    <row r="343" spans="1:4" ht="15" customHeight="1" x14ac:dyDescent="0.3">
      <c r="A343" s="15" t="s">
        <v>51</v>
      </c>
      <c r="B343" s="21" t="s">
        <v>12</v>
      </c>
      <c r="C343" s="16" t="s">
        <v>71</v>
      </c>
      <c r="D343" s="16">
        <v>217</v>
      </c>
    </row>
    <row r="344" spans="1:4" ht="15" customHeight="1" x14ac:dyDescent="0.3">
      <c r="A344" s="10" t="s">
        <v>51</v>
      </c>
      <c r="B344" s="21" t="s">
        <v>12</v>
      </c>
      <c r="C344" s="11" t="s">
        <v>73</v>
      </c>
      <c r="D344" s="11">
        <v>219</v>
      </c>
    </row>
    <row r="345" spans="1:4" ht="15" customHeight="1" x14ac:dyDescent="0.3">
      <c r="A345" s="15" t="s">
        <v>51</v>
      </c>
      <c r="B345" s="21" t="s">
        <v>12</v>
      </c>
      <c r="C345" s="16" t="s">
        <v>74</v>
      </c>
      <c r="D345" s="16">
        <v>246</v>
      </c>
    </row>
    <row r="346" spans="1:4" ht="15" customHeight="1" x14ac:dyDescent="0.3">
      <c r="A346" s="10" t="s">
        <v>51</v>
      </c>
      <c r="B346" s="21" t="s">
        <v>12</v>
      </c>
      <c r="C346" s="11" t="s">
        <v>76</v>
      </c>
      <c r="D346" s="11">
        <v>311</v>
      </c>
    </row>
    <row r="347" spans="1:4" ht="15" customHeight="1" x14ac:dyDescent="0.3">
      <c r="A347" s="15" t="s">
        <v>52</v>
      </c>
      <c r="B347" s="18" t="s">
        <v>9</v>
      </c>
      <c r="C347" s="16" t="s">
        <v>70</v>
      </c>
      <c r="D347" s="16">
        <v>303</v>
      </c>
    </row>
    <row r="348" spans="1:4" ht="15" customHeight="1" x14ac:dyDescent="0.3">
      <c r="A348" s="10" t="s">
        <v>52</v>
      </c>
      <c r="B348" s="18" t="s">
        <v>9</v>
      </c>
      <c r="C348" s="11" t="s">
        <v>71</v>
      </c>
      <c r="D348" s="11">
        <v>279</v>
      </c>
    </row>
    <row r="349" spans="1:4" ht="15" customHeight="1" x14ac:dyDescent="0.3">
      <c r="A349" s="15" t="s">
        <v>52</v>
      </c>
      <c r="B349" s="18" t="s">
        <v>9</v>
      </c>
      <c r="C349" s="16" t="s">
        <v>72</v>
      </c>
      <c r="D349" s="16">
        <v>292</v>
      </c>
    </row>
    <row r="350" spans="1:4" ht="15" customHeight="1" x14ac:dyDescent="0.3">
      <c r="A350" s="10" t="s">
        <v>52</v>
      </c>
      <c r="B350" s="19" t="s">
        <v>10</v>
      </c>
      <c r="C350" s="11" t="s">
        <v>70</v>
      </c>
      <c r="D350" s="11">
        <v>294</v>
      </c>
    </row>
    <row r="351" spans="1:4" ht="15" customHeight="1" x14ac:dyDescent="0.3">
      <c r="A351" s="15" t="s">
        <v>52</v>
      </c>
      <c r="B351" s="19" t="s">
        <v>10</v>
      </c>
      <c r="C351" s="16" t="s">
        <v>71</v>
      </c>
      <c r="D351" s="16">
        <v>262</v>
      </c>
    </row>
    <row r="352" spans="1:4" ht="15" customHeight="1" x14ac:dyDescent="0.3">
      <c r="A352" s="10" t="s">
        <v>52</v>
      </c>
      <c r="B352" s="19" t="s">
        <v>10</v>
      </c>
      <c r="C352" s="11" t="s">
        <v>72</v>
      </c>
      <c r="D352" s="11">
        <v>265</v>
      </c>
    </row>
    <row r="353" spans="1:4" ht="15" customHeight="1" x14ac:dyDescent="0.3">
      <c r="A353" s="15" t="s">
        <v>52</v>
      </c>
      <c r="B353" s="20" t="s">
        <v>11</v>
      </c>
      <c r="C353" s="16" t="s">
        <v>70</v>
      </c>
      <c r="D353" s="16">
        <v>280</v>
      </c>
    </row>
    <row r="354" spans="1:4" ht="15" customHeight="1" x14ac:dyDescent="0.3">
      <c r="A354" s="10" t="s">
        <v>52</v>
      </c>
      <c r="B354" s="20" t="s">
        <v>11</v>
      </c>
      <c r="C354" s="11" t="s">
        <v>71</v>
      </c>
      <c r="D354" s="11">
        <v>232</v>
      </c>
    </row>
    <row r="355" spans="1:4" ht="15" customHeight="1" x14ac:dyDescent="0.3">
      <c r="A355" s="15" t="s">
        <v>52</v>
      </c>
      <c r="B355" s="20" t="s">
        <v>11</v>
      </c>
      <c r="C355" s="16" t="s">
        <v>73</v>
      </c>
      <c r="D355" s="16">
        <v>229</v>
      </c>
    </row>
    <row r="356" spans="1:4" ht="15" customHeight="1" x14ac:dyDescent="0.3">
      <c r="A356" s="10" t="s">
        <v>52</v>
      </c>
      <c r="B356" s="20" t="s">
        <v>11</v>
      </c>
      <c r="C356" s="11" t="s">
        <v>74</v>
      </c>
      <c r="D356" s="11">
        <v>231</v>
      </c>
    </row>
    <row r="357" spans="1:4" ht="15" customHeight="1" x14ac:dyDescent="0.3">
      <c r="A357" s="15" t="s">
        <v>52</v>
      </c>
      <c r="B357" s="21" t="s">
        <v>12</v>
      </c>
      <c r="C357" s="16" t="s">
        <v>75</v>
      </c>
      <c r="D357" s="16">
        <v>212</v>
      </c>
    </row>
    <row r="358" spans="1:4" ht="15" customHeight="1" x14ac:dyDescent="0.3">
      <c r="A358" s="10" t="s">
        <v>52</v>
      </c>
      <c r="B358" s="21" t="s">
        <v>12</v>
      </c>
      <c r="C358" s="11" t="s">
        <v>71</v>
      </c>
      <c r="D358" s="11">
        <v>198</v>
      </c>
    </row>
    <row r="359" spans="1:4" ht="15" customHeight="1" x14ac:dyDescent="0.3">
      <c r="A359" s="15" t="s">
        <v>52</v>
      </c>
      <c r="B359" s="21" t="s">
        <v>12</v>
      </c>
      <c r="C359" s="16" t="s">
        <v>73</v>
      </c>
      <c r="D359" s="16">
        <v>192</v>
      </c>
    </row>
    <row r="360" spans="1:4" ht="15" customHeight="1" x14ac:dyDescent="0.3">
      <c r="A360" s="10" t="s">
        <v>52</v>
      </c>
      <c r="B360" s="21" t="s">
        <v>12</v>
      </c>
      <c r="C360" s="11" t="s">
        <v>74</v>
      </c>
      <c r="D360" s="11">
        <v>216</v>
      </c>
    </row>
    <row r="361" spans="1:4" ht="15" customHeight="1" x14ac:dyDescent="0.3">
      <c r="A361" s="15" t="s">
        <v>52</v>
      </c>
      <c r="B361" s="21" t="s">
        <v>12</v>
      </c>
      <c r="C361" s="16" t="s">
        <v>76</v>
      </c>
      <c r="D361" s="16">
        <v>278</v>
      </c>
    </row>
    <row r="362" spans="1:4" ht="15" customHeight="1" x14ac:dyDescent="0.3">
      <c r="A362" s="10" t="s">
        <v>53</v>
      </c>
      <c r="B362" s="18" t="s">
        <v>9</v>
      </c>
      <c r="C362" s="11" t="s">
        <v>70</v>
      </c>
      <c r="D362" s="11">
        <v>332</v>
      </c>
    </row>
    <row r="363" spans="1:4" ht="15" customHeight="1" x14ac:dyDescent="0.3">
      <c r="A363" s="15" t="s">
        <v>53</v>
      </c>
      <c r="B363" s="18" t="s">
        <v>9</v>
      </c>
      <c r="C363" s="16" t="s">
        <v>71</v>
      </c>
      <c r="D363" s="16">
        <v>303</v>
      </c>
    </row>
    <row r="364" spans="1:4" ht="15" customHeight="1" x14ac:dyDescent="0.3">
      <c r="A364" s="10" t="s">
        <v>53</v>
      </c>
      <c r="B364" s="18" t="s">
        <v>9</v>
      </c>
      <c r="C364" s="11" t="s">
        <v>72</v>
      </c>
      <c r="D364" s="11">
        <v>310</v>
      </c>
    </row>
    <row r="365" spans="1:4" ht="15" customHeight="1" x14ac:dyDescent="0.3">
      <c r="A365" s="15" t="s">
        <v>53</v>
      </c>
      <c r="B365" s="19" t="s">
        <v>10</v>
      </c>
      <c r="C365" s="16" t="s">
        <v>70</v>
      </c>
      <c r="D365" s="16">
        <v>302</v>
      </c>
    </row>
    <row r="366" spans="1:4" ht="15" customHeight="1" x14ac:dyDescent="0.3">
      <c r="A366" s="10" t="s">
        <v>53</v>
      </c>
      <c r="B366" s="19" t="s">
        <v>10</v>
      </c>
      <c r="C366" s="11" t="s">
        <v>71</v>
      </c>
      <c r="D366" s="11">
        <v>270</v>
      </c>
    </row>
    <row r="367" spans="1:4" ht="15" customHeight="1" x14ac:dyDescent="0.3">
      <c r="A367" s="15" t="s">
        <v>53</v>
      </c>
      <c r="B367" s="19" t="s">
        <v>10</v>
      </c>
      <c r="C367" s="16" t="s">
        <v>72</v>
      </c>
      <c r="D367" s="16">
        <v>270</v>
      </c>
    </row>
    <row r="368" spans="1:4" ht="15" customHeight="1" x14ac:dyDescent="0.3">
      <c r="A368" s="10" t="s">
        <v>53</v>
      </c>
      <c r="B368" s="20" t="s">
        <v>11</v>
      </c>
      <c r="C368" s="11" t="s">
        <v>70</v>
      </c>
      <c r="D368" s="11">
        <v>297</v>
      </c>
    </row>
    <row r="369" spans="1:4" ht="15" customHeight="1" x14ac:dyDescent="0.3">
      <c r="A369" s="15" t="s">
        <v>53</v>
      </c>
      <c r="B369" s="20" t="s">
        <v>11</v>
      </c>
      <c r="C369" s="16" t="s">
        <v>71</v>
      </c>
      <c r="D369" s="16">
        <v>240</v>
      </c>
    </row>
    <row r="370" spans="1:4" ht="15" customHeight="1" x14ac:dyDescent="0.3">
      <c r="A370" s="10" t="s">
        <v>53</v>
      </c>
      <c r="B370" s="20" t="s">
        <v>11</v>
      </c>
      <c r="C370" s="11" t="s">
        <v>73</v>
      </c>
      <c r="D370" s="11">
        <v>241</v>
      </c>
    </row>
    <row r="371" spans="1:4" ht="15" customHeight="1" x14ac:dyDescent="0.3">
      <c r="A371" s="15" t="s">
        <v>53</v>
      </c>
      <c r="B371" s="20" t="s">
        <v>11</v>
      </c>
      <c r="C371" s="16" t="s">
        <v>74</v>
      </c>
      <c r="D371" s="16">
        <v>242</v>
      </c>
    </row>
    <row r="372" spans="1:4" ht="15" customHeight="1" x14ac:dyDescent="0.3">
      <c r="A372" s="10" t="s">
        <v>53</v>
      </c>
      <c r="B372" s="21" t="s">
        <v>12</v>
      </c>
      <c r="C372" s="11" t="s">
        <v>75</v>
      </c>
      <c r="D372" s="11">
        <v>204</v>
      </c>
    </row>
    <row r="373" spans="1:4" ht="15" customHeight="1" x14ac:dyDescent="0.3">
      <c r="A373" s="15" t="s">
        <v>53</v>
      </c>
      <c r="B373" s="21" t="s">
        <v>12</v>
      </c>
      <c r="C373" s="16" t="s">
        <v>71</v>
      </c>
      <c r="D373" s="16">
        <v>200</v>
      </c>
    </row>
    <row r="374" spans="1:4" ht="15" customHeight="1" x14ac:dyDescent="0.3">
      <c r="A374" s="10" t="s">
        <v>53</v>
      </c>
      <c r="B374" s="21" t="s">
        <v>12</v>
      </c>
      <c r="C374" s="11" t="s">
        <v>73</v>
      </c>
      <c r="D374" s="11">
        <v>189</v>
      </c>
    </row>
    <row r="375" spans="1:4" ht="15" customHeight="1" x14ac:dyDescent="0.3">
      <c r="A375" s="15" t="s">
        <v>53</v>
      </c>
      <c r="B375" s="21" t="s">
        <v>12</v>
      </c>
      <c r="C375" s="16" t="s">
        <v>74</v>
      </c>
      <c r="D375" s="16">
        <v>217</v>
      </c>
    </row>
    <row r="376" spans="1:4" ht="15" customHeight="1" x14ac:dyDescent="0.3">
      <c r="A376" s="10" t="s">
        <v>53</v>
      </c>
      <c r="B376" s="21" t="s">
        <v>12</v>
      </c>
      <c r="C376" s="11" t="s">
        <v>76</v>
      </c>
      <c r="D376" s="11">
        <v>279</v>
      </c>
    </row>
    <row r="377" spans="1:4" ht="15" customHeight="1" x14ac:dyDescent="0.3">
      <c r="A377" s="15" t="s">
        <v>54</v>
      </c>
      <c r="B377" s="18" t="s">
        <v>9</v>
      </c>
      <c r="C377" s="16" t="s">
        <v>70</v>
      </c>
      <c r="D377" s="16">
        <v>319</v>
      </c>
    </row>
    <row r="378" spans="1:4" ht="15" customHeight="1" x14ac:dyDescent="0.3">
      <c r="A378" s="10" t="s">
        <v>54</v>
      </c>
      <c r="B378" s="18" t="s">
        <v>9</v>
      </c>
      <c r="C378" s="11" t="s">
        <v>71</v>
      </c>
      <c r="D378" s="11">
        <v>292</v>
      </c>
    </row>
    <row r="379" spans="1:4" ht="15" customHeight="1" x14ac:dyDescent="0.3">
      <c r="A379" s="15" t="s">
        <v>54</v>
      </c>
      <c r="B379" s="18" t="s">
        <v>9</v>
      </c>
      <c r="C379" s="16" t="s">
        <v>72</v>
      </c>
      <c r="D379" s="16">
        <v>303</v>
      </c>
    </row>
    <row r="380" spans="1:4" ht="15" customHeight="1" x14ac:dyDescent="0.3">
      <c r="A380" s="10" t="s">
        <v>54</v>
      </c>
      <c r="B380" s="19" t="s">
        <v>10</v>
      </c>
      <c r="C380" s="11" t="s">
        <v>70</v>
      </c>
      <c r="D380" s="11">
        <v>306</v>
      </c>
    </row>
    <row r="381" spans="1:4" ht="15" customHeight="1" x14ac:dyDescent="0.3">
      <c r="A381" s="15" t="s">
        <v>54</v>
      </c>
      <c r="B381" s="19" t="s">
        <v>10</v>
      </c>
      <c r="C381" s="16" t="s">
        <v>71</v>
      </c>
      <c r="D381" s="16">
        <v>257</v>
      </c>
    </row>
    <row r="382" spans="1:4" ht="15" customHeight="1" x14ac:dyDescent="0.3">
      <c r="A382" s="10" t="s">
        <v>54</v>
      </c>
      <c r="B382" s="19" t="s">
        <v>10</v>
      </c>
      <c r="C382" s="11" t="s">
        <v>72</v>
      </c>
      <c r="D382" s="11">
        <v>274</v>
      </c>
    </row>
    <row r="383" spans="1:4" ht="15" customHeight="1" x14ac:dyDescent="0.3">
      <c r="A383" s="15" t="s">
        <v>54</v>
      </c>
      <c r="B383" s="20" t="s">
        <v>11</v>
      </c>
      <c r="C383" s="16" t="s">
        <v>70</v>
      </c>
      <c r="D383" s="16">
        <v>312</v>
      </c>
    </row>
    <row r="384" spans="1:4" ht="15" customHeight="1" x14ac:dyDescent="0.3">
      <c r="A384" s="10" t="s">
        <v>54</v>
      </c>
      <c r="B384" s="20" t="s">
        <v>11</v>
      </c>
      <c r="C384" s="11" t="s">
        <v>71</v>
      </c>
      <c r="D384" s="11">
        <v>238</v>
      </c>
    </row>
    <row r="385" spans="1:4" ht="15" customHeight="1" x14ac:dyDescent="0.3">
      <c r="A385" s="15" t="s">
        <v>54</v>
      </c>
      <c r="B385" s="20" t="s">
        <v>11</v>
      </c>
      <c r="C385" s="16" t="s">
        <v>73</v>
      </c>
      <c r="D385" s="16">
        <v>246</v>
      </c>
    </row>
    <row r="386" spans="1:4" ht="15" customHeight="1" x14ac:dyDescent="0.3">
      <c r="A386" s="10" t="s">
        <v>54</v>
      </c>
      <c r="B386" s="20" t="s">
        <v>11</v>
      </c>
      <c r="C386" s="11" t="s">
        <v>74</v>
      </c>
      <c r="D386" s="11">
        <v>253</v>
      </c>
    </row>
    <row r="387" spans="1:4" ht="15" customHeight="1" x14ac:dyDescent="0.3">
      <c r="A387" s="15" t="s">
        <v>54</v>
      </c>
      <c r="B387" s="21" t="s">
        <v>12</v>
      </c>
      <c r="C387" s="16" t="s">
        <v>75</v>
      </c>
      <c r="D387" s="16">
        <v>212</v>
      </c>
    </row>
    <row r="388" spans="1:4" ht="15" customHeight="1" x14ac:dyDescent="0.3">
      <c r="A388" s="10" t="s">
        <v>54</v>
      </c>
      <c r="B388" s="21" t="s">
        <v>12</v>
      </c>
      <c r="C388" s="11" t="s">
        <v>71</v>
      </c>
      <c r="D388" s="11">
        <v>200</v>
      </c>
    </row>
    <row r="389" spans="1:4" ht="15" customHeight="1" x14ac:dyDescent="0.3">
      <c r="A389" s="15" t="s">
        <v>54</v>
      </c>
      <c r="B389" s="21" t="s">
        <v>12</v>
      </c>
      <c r="C389" s="16" t="s">
        <v>73</v>
      </c>
      <c r="D389" s="16">
        <v>204</v>
      </c>
    </row>
    <row r="390" spans="1:4" ht="15" customHeight="1" x14ac:dyDescent="0.3">
      <c r="A390" s="10" t="s">
        <v>54</v>
      </c>
      <c r="B390" s="21" t="s">
        <v>12</v>
      </c>
      <c r="C390" s="11" t="s">
        <v>74</v>
      </c>
      <c r="D390" s="11">
        <v>241</v>
      </c>
    </row>
    <row r="391" spans="1:4" ht="15" customHeight="1" x14ac:dyDescent="0.3">
      <c r="A391" s="15" t="s">
        <v>54</v>
      </c>
      <c r="B391" s="21" t="s">
        <v>12</v>
      </c>
      <c r="C391" s="16" t="s">
        <v>76</v>
      </c>
      <c r="D391" s="16">
        <v>312</v>
      </c>
    </row>
    <row r="392" spans="1:4" ht="15" customHeight="1" x14ac:dyDescent="0.3">
      <c r="A392" s="10" t="s">
        <v>55</v>
      </c>
      <c r="B392" s="18" t="s">
        <v>9</v>
      </c>
      <c r="C392" s="11" t="s">
        <v>70</v>
      </c>
      <c r="D392" s="11">
        <v>330</v>
      </c>
    </row>
    <row r="393" spans="1:4" ht="15" customHeight="1" x14ac:dyDescent="0.3">
      <c r="A393" s="15" t="s">
        <v>55</v>
      </c>
      <c r="B393" s="18" t="s">
        <v>9</v>
      </c>
      <c r="C393" s="16" t="s">
        <v>71</v>
      </c>
      <c r="D393" s="16">
        <v>313</v>
      </c>
    </row>
    <row r="394" spans="1:4" ht="15" customHeight="1" x14ac:dyDescent="0.3">
      <c r="A394" s="10" t="s">
        <v>55</v>
      </c>
      <c r="B394" s="18" t="s">
        <v>9</v>
      </c>
      <c r="C394" s="11" t="s">
        <v>72</v>
      </c>
      <c r="D394" s="11">
        <v>309</v>
      </c>
    </row>
    <row r="395" spans="1:4" ht="15" customHeight="1" x14ac:dyDescent="0.3">
      <c r="A395" s="15" t="s">
        <v>55</v>
      </c>
      <c r="B395" s="19" t="s">
        <v>10</v>
      </c>
      <c r="C395" s="16" t="s">
        <v>70</v>
      </c>
      <c r="D395" s="16">
        <v>305</v>
      </c>
    </row>
    <row r="396" spans="1:4" ht="15" customHeight="1" x14ac:dyDescent="0.3">
      <c r="A396" s="10" t="s">
        <v>55</v>
      </c>
      <c r="B396" s="19" t="s">
        <v>10</v>
      </c>
      <c r="C396" s="11" t="s">
        <v>71</v>
      </c>
      <c r="D396" s="11">
        <v>290</v>
      </c>
    </row>
    <row r="397" spans="1:4" ht="15" customHeight="1" x14ac:dyDescent="0.3">
      <c r="A397" s="15" t="s">
        <v>55</v>
      </c>
      <c r="B397" s="19" t="s">
        <v>10</v>
      </c>
      <c r="C397" s="16" t="s">
        <v>72</v>
      </c>
      <c r="D397" s="16">
        <v>282</v>
      </c>
    </row>
    <row r="398" spans="1:4" ht="15" customHeight="1" x14ac:dyDescent="0.3">
      <c r="A398" s="10" t="s">
        <v>55</v>
      </c>
      <c r="B398" s="20" t="s">
        <v>11</v>
      </c>
      <c r="C398" s="11" t="s">
        <v>70</v>
      </c>
      <c r="D398" s="11">
        <v>303</v>
      </c>
    </row>
    <row r="399" spans="1:4" ht="15" customHeight="1" x14ac:dyDescent="0.3">
      <c r="A399" s="15" t="s">
        <v>55</v>
      </c>
      <c r="B399" s="20" t="s">
        <v>11</v>
      </c>
      <c r="C399" s="16" t="s">
        <v>71</v>
      </c>
      <c r="D399" s="16">
        <v>261</v>
      </c>
    </row>
    <row r="400" spans="1:4" ht="15" customHeight="1" x14ac:dyDescent="0.3">
      <c r="A400" s="10" t="s">
        <v>55</v>
      </c>
      <c r="B400" s="20" t="s">
        <v>11</v>
      </c>
      <c r="C400" s="11" t="s">
        <v>73</v>
      </c>
      <c r="D400" s="11">
        <v>253</v>
      </c>
    </row>
    <row r="401" spans="1:4" ht="15" customHeight="1" x14ac:dyDescent="0.3">
      <c r="A401" s="15" t="s">
        <v>55</v>
      </c>
      <c r="B401" s="20" t="s">
        <v>11</v>
      </c>
      <c r="C401" s="16" t="s">
        <v>74</v>
      </c>
      <c r="D401" s="16">
        <v>255</v>
      </c>
    </row>
    <row r="402" spans="1:4" ht="15" customHeight="1" x14ac:dyDescent="0.3">
      <c r="A402" s="10" t="s">
        <v>55</v>
      </c>
      <c r="B402" s="21" t="s">
        <v>12</v>
      </c>
      <c r="C402" s="11" t="s">
        <v>75</v>
      </c>
      <c r="D402" s="11">
        <v>252</v>
      </c>
    </row>
    <row r="403" spans="1:4" ht="15" customHeight="1" x14ac:dyDescent="0.3">
      <c r="A403" s="15" t="s">
        <v>55</v>
      </c>
      <c r="B403" s="21" t="s">
        <v>12</v>
      </c>
      <c r="C403" s="16" t="s">
        <v>71</v>
      </c>
      <c r="D403" s="16">
        <v>224</v>
      </c>
    </row>
    <row r="404" spans="1:4" ht="15" customHeight="1" x14ac:dyDescent="0.3">
      <c r="A404" s="10" t="s">
        <v>55</v>
      </c>
      <c r="B404" s="21" t="s">
        <v>12</v>
      </c>
      <c r="C404" s="11" t="s">
        <v>73</v>
      </c>
      <c r="D404" s="11">
        <v>205</v>
      </c>
    </row>
    <row r="405" spans="1:4" ht="15" customHeight="1" x14ac:dyDescent="0.3">
      <c r="A405" s="15" t="s">
        <v>55</v>
      </c>
      <c r="B405" s="21" t="s">
        <v>12</v>
      </c>
      <c r="C405" s="16" t="s">
        <v>74</v>
      </c>
      <c r="D405" s="16">
        <v>227</v>
      </c>
    </row>
    <row r="406" spans="1:4" ht="15" customHeight="1" x14ac:dyDescent="0.3">
      <c r="A406" s="10" t="s">
        <v>55</v>
      </c>
      <c r="B406" s="21" t="s">
        <v>12</v>
      </c>
      <c r="C406" s="11" t="s">
        <v>76</v>
      </c>
      <c r="D406" s="11">
        <v>273</v>
      </c>
    </row>
    <row r="407" spans="1:4" ht="15" customHeight="1" x14ac:dyDescent="0.3">
      <c r="A407" s="15" t="s">
        <v>56</v>
      </c>
      <c r="B407" s="18" t="s">
        <v>9</v>
      </c>
      <c r="C407" s="16" t="s">
        <v>70</v>
      </c>
      <c r="D407" s="16">
        <v>331</v>
      </c>
    </row>
    <row r="408" spans="1:4" ht="15" customHeight="1" x14ac:dyDescent="0.3">
      <c r="A408" s="10" t="s">
        <v>56</v>
      </c>
      <c r="B408" s="18" t="s">
        <v>9</v>
      </c>
      <c r="C408" s="11" t="s">
        <v>71</v>
      </c>
      <c r="D408" s="11">
        <v>310</v>
      </c>
    </row>
    <row r="409" spans="1:4" ht="15" customHeight="1" x14ac:dyDescent="0.3">
      <c r="A409" s="15" t="s">
        <v>56</v>
      </c>
      <c r="B409" s="18" t="s">
        <v>9</v>
      </c>
      <c r="C409" s="16" t="s">
        <v>72</v>
      </c>
      <c r="D409" s="16">
        <v>315</v>
      </c>
    </row>
    <row r="410" spans="1:4" ht="15" customHeight="1" x14ac:dyDescent="0.3">
      <c r="A410" s="10" t="s">
        <v>56</v>
      </c>
      <c r="B410" s="19" t="s">
        <v>10</v>
      </c>
      <c r="C410" s="11" t="s">
        <v>70</v>
      </c>
      <c r="D410" s="11">
        <v>320</v>
      </c>
    </row>
    <row r="411" spans="1:4" ht="15" customHeight="1" x14ac:dyDescent="0.3">
      <c r="A411" s="15" t="s">
        <v>56</v>
      </c>
      <c r="B411" s="19" t="s">
        <v>10</v>
      </c>
      <c r="C411" s="16" t="s">
        <v>71</v>
      </c>
      <c r="D411" s="16">
        <v>291</v>
      </c>
    </row>
    <row r="412" spans="1:4" ht="15" customHeight="1" x14ac:dyDescent="0.3">
      <c r="A412" s="10" t="s">
        <v>56</v>
      </c>
      <c r="B412" s="19" t="s">
        <v>10</v>
      </c>
      <c r="C412" s="11" t="s">
        <v>72</v>
      </c>
      <c r="D412" s="11">
        <v>290</v>
      </c>
    </row>
    <row r="413" spans="1:4" ht="15" customHeight="1" x14ac:dyDescent="0.3">
      <c r="A413" s="15" t="s">
        <v>56</v>
      </c>
      <c r="B413" s="20" t="s">
        <v>11</v>
      </c>
      <c r="C413" s="16" t="s">
        <v>70</v>
      </c>
      <c r="D413" s="16">
        <v>315</v>
      </c>
    </row>
    <row r="414" spans="1:4" ht="15" customHeight="1" x14ac:dyDescent="0.3">
      <c r="A414" s="10" t="s">
        <v>56</v>
      </c>
      <c r="B414" s="20" t="s">
        <v>11</v>
      </c>
      <c r="C414" s="11" t="s">
        <v>71</v>
      </c>
      <c r="D414" s="11">
        <v>252</v>
      </c>
    </row>
    <row r="415" spans="1:4" ht="15" customHeight="1" x14ac:dyDescent="0.3">
      <c r="A415" s="15" t="s">
        <v>56</v>
      </c>
      <c r="B415" s="20" t="s">
        <v>11</v>
      </c>
      <c r="C415" s="16" t="s">
        <v>73</v>
      </c>
      <c r="D415" s="16">
        <v>258</v>
      </c>
    </row>
    <row r="416" spans="1:4" ht="15" customHeight="1" x14ac:dyDescent="0.3">
      <c r="A416" s="10" t="s">
        <v>56</v>
      </c>
      <c r="B416" s="20" t="s">
        <v>11</v>
      </c>
      <c r="C416" s="11" t="s">
        <v>74</v>
      </c>
      <c r="D416" s="11">
        <v>256</v>
      </c>
    </row>
    <row r="417" spans="1:4" ht="15" customHeight="1" x14ac:dyDescent="0.3">
      <c r="A417" s="15" t="s">
        <v>56</v>
      </c>
      <c r="B417" s="21" t="s">
        <v>12</v>
      </c>
      <c r="C417" s="16" t="s">
        <v>75</v>
      </c>
      <c r="D417" s="16">
        <v>216</v>
      </c>
    </row>
    <row r="418" spans="1:4" ht="15" customHeight="1" x14ac:dyDescent="0.3">
      <c r="A418" s="10" t="s">
        <v>56</v>
      </c>
      <c r="B418" s="21" t="s">
        <v>12</v>
      </c>
      <c r="C418" s="11" t="s">
        <v>71</v>
      </c>
      <c r="D418" s="11">
        <v>226</v>
      </c>
    </row>
    <row r="419" spans="1:4" ht="15" customHeight="1" x14ac:dyDescent="0.3">
      <c r="A419" s="15" t="s">
        <v>56</v>
      </c>
      <c r="B419" s="21" t="s">
        <v>12</v>
      </c>
      <c r="C419" s="16" t="s">
        <v>73</v>
      </c>
      <c r="D419" s="16">
        <v>225</v>
      </c>
    </row>
    <row r="420" spans="1:4" ht="15" customHeight="1" x14ac:dyDescent="0.3">
      <c r="A420" s="10" t="s">
        <v>56</v>
      </c>
      <c r="B420" s="21" t="s">
        <v>12</v>
      </c>
      <c r="C420" s="11" t="s">
        <v>74</v>
      </c>
      <c r="D420" s="11">
        <v>255</v>
      </c>
    </row>
    <row r="421" spans="1:4" ht="15" customHeight="1" x14ac:dyDescent="0.3">
      <c r="A421" s="15" t="s">
        <v>56</v>
      </c>
      <c r="B421" s="21" t="s">
        <v>12</v>
      </c>
      <c r="C421" s="16" t="s">
        <v>76</v>
      </c>
      <c r="D421" s="16">
        <v>325</v>
      </c>
    </row>
    <row r="422" spans="1:4" ht="15" customHeight="1" x14ac:dyDescent="0.3">
      <c r="A422" s="10" t="s">
        <v>57</v>
      </c>
      <c r="B422" s="18" t="s">
        <v>9</v>
      </c>
      <c r="C422" s="11" t="s">
        <v>70</v>
      </c>
      <c r="D422" s="11">
        <v>355</v>
      </c>
    </row>
    <row r="423" spans="1:4" ht="15" customHeight="1" x14ac:dyDescent="0.3">
      <c r="A423" s="15" t="s">
        <v>57</v>
      </c>
      <c r="B423" s="18" t="s">
        <v>9</v>
      </c>
      <c r="C423" s="16" t="s">
        <v>71</v>
      </c>
      <c r="D423" s="16">
        <v>339</v>
      </c>
    </row>
    <row r="424" spans="1:4" ht="15" customHeight="1" x14ac:dyDescent="0.3">
      <c r="A424" s="10" t="s">
        <v>57</v>
      </c>
      <c r="B424" s="18" t="s">
        <v>9</v>
      </c>
      <c r="C424" s="11" t="s">
        <v>72</v>
      </c>
      <c r="D424" s="11">
        <v>334</v>
      </c>
    </row>
    <row r="425" spans="1:4" ht="15" customHeight="1" x14ac:dyDescent="0.3">
      <c r="A425" s="15" t="s">
        <v>57</v>
      </c>
      <c r="B425" s="19" t="s">
        <v>10</v>
      </c>
      <c r="C425" s="16" t="s">
        <v>70</v>
      </c>
      <c r="D425" s="16">
        <v>339</v>
      </c>
    </row>
    <row r="426" spans="1:4" ht="15" customHeight="1" x14ac:dyDescent="0.3">
      <c r="A426" s="10" t="s">
        <v>57</v>
      </c>
      <c r="B426" s="19" t="s">
        <v>10</v>
      </c>
      <c r="C426" s="11" t="s">
        <v>71</v>
      </c>
      <c r="D426" s="11">
        <v>316</v>
      </c>
    </row>
    <row r="427" spans="1:4" ht="15" customHeight="1" x14ac:dyDescent="0.3">
      <c r="A427" s="15" t="s">
        <v>57</v>
      </c>
      <c r="B427" s="19" t="s">
        <v>10</v>
      </c>
      <c r="C427" s="16" t="s">
        <v>72</v>
      </c>
      <c r="D427" s="16">
        <v>310</v>
      </c>
    </row>
    <row r="428" spans="1:4" ht="15" customHeight="1" x14ac:dyDescent="0.3">
      <c r="A428" s="10" t="s">
        <v>57</v>
      </c>
      <c r="B428" s="20" t="s">
        <v>11</v>
      </c>
      <c r="C428" s="11" t="s">
        <v>70</v>
      </c>
      <c r="D428" s="11">
        <v>338</v>
      </c>
    </row>
    <row r="429" spans="1:4" ht="15" customHeight="1" x14ac:dyDescent="0.3">
      <c r="A429" s="15" t="s">
        <v>57</v>
      </c>
      <c r="B429" s="20" t="s">
        <v>11</v>
      </c>
      <c r="C429" s="16" t="s">
        <v>71</v>
      </c>
      <c r="D429" s="16">
        <v>297</v>
      </c>
    </row>
    <row r="430" spans="1:4" ht="15" customHeight="1" x14ac:dyDescent="0.3">
      <c r="A430" s="10" t="s">
        <v>57</v>
      </c>
      <c r="B430" s="20" t="s">
        <v>11</v>
      </c>
      <c r="C430" s="11" t="s">
        <v>73</v>
      </c>
      <c r="D430" s="11">
        <v>287</v>
      </c>
    </row>
    <row r="431" spans="1:4" ht="15" customHeight="1" x14ac:dyDescent="0.3">
      <c r="A431" s="15" t="s">
        <v>57</v>
      </c>
      <c r="B431" s="20" t="s">
        <v>11</v>
      </c>
      <c r="C431" s="16" t="s">
        <v>74</v>
      </c>
      <c r="D431" s="16">
        <v>288</v>
      </c>
    </row>
    <row r="432" spans="1:4" ht="15" customHeight="1" x14ac:dyDescent="0.3">
      <c r="A432" s="10" t="s">
        <v>57</v>
      </c>
      <c r="B432" s="21" t="s">
        <v>12</v>
      </c>
      <c r="C432" s="11" t="s">
        <v>75</v>
      </c>
      <c r="D432" s="11">
        <v>298</v>
      </c>
    </row>
    <row r="433" spans="1:4" ht="15" customHeight="1" x14ac:dyDescent="0.3">
      <c r="A433" s="15" t="s">
        <v>57</v>
      </c>
      <c r="B433" s="21" t="s">
        <v>12</v>
      </c>
      <c r="C433" s="16" t="s">
        <v>71</v>
      </c>
      <c r="D433" s="16">
        <v>273</v>
      </c>
    </row>
    <row r="434" spans="1:4" ht="15" customHeight="1" x14ac:dyDescent="0.3">
      <c r="A434" s="10" t="s">
        <v>57</v>
      </c>
      <c r="B434" s="21" t="s">
        <v>12</v>
      </c>
      <c r="C434" s="11" t="s">
        <v>73</v>
      </c>
      <c r="D434" s="11">
        <v>254</v>
      </c>
    </row>
    <row r="435" spans="1:4" ht="15" customHeight="1" x14ac:dyDescent="0.3">
      <c r="A435" s="15" t="s">
        <v>57</v>
      </c>
      <c r="B435" s="21" t="s">
        <v>12</v>
      </c>
      <c r="C435" s="16" t="s">
        <v>74</v>
      </c>
      <c r="D435" s="16">
        <v>270</v>
      </c>
    </row>
    <row r="436" spans="1:4" ht="15" customHeight="1" x14ac:dyDescent="0.3">
      <c r="A436" s="10" t="s">
        <v>57</v>
      </c>
      <c r="B436" s="21" t="s">
        <v>12</v>
      </c>
      <c r="C436" s="11" t="s">
        <v>76</v>
      </c>
      <c r="D436" s="11">
        <v>330</v>
      </c>
    </row>
    <row r="437" spans="1:4" ht="15" customHeight="1" x14ac:dyDescent="0.3">
      <c r="A437" s="15" t="s">
        <v>58</v>
      </c>
      <c r="B437" s="18" t="s">
        <v>9</v>
      </c>
      <c r="C437" s="16" t="s">
        <v>70</v>
      </c>
      <c r="D437" s="16">
        <v>339</v>
      </c>
    </row>
    <row r="438" spans="1:4" ht="15" customHeight="1" x14ac:dyDescent="0.3">
      <c r="A438" s="10" t="s">
        <v>58</v>
      </c>
      <c r="B438" s="18" t="s">
        <v>9</v>
      </c>
      <c r="C438" s="11" t="s">
        <v>71</v>
      </c>
      <c r="D438" s="11">
        <v>325</v>
      </c>
    </row>
    <row r="439" spans="1:4" ht="15" customHeight="1" x14ac:dyDescent="0.3">
      <c r="A439" s="15" t="s">
        <v>58</v>
      </c>
      <c r="B439" s="18" t="s">
        <v>9</v>
      </c>
      <c r="C439" s="16" t="s">
        <v>72</v>
      </c>
      <c r="D439" s="16">
        <v>322</v>
      </c>
    </row>
    <row r="440" spans="1:4" ht="15" customHeight="1" x14ac:dyDescent="0.3">
      <c r="A440" s="10" t="s">
        <v>58</v>
      </c>
      <c r="B440" s="19" t="s">
        <v>10</v>
      </c>
      <c r="C440" s="11" t="s">
        <v>70</v>
      </c>
      <c r="D440" s="11">
        <v>326</v>
      </c>
    </row>
    <row r="441" spans="1:4" ht="15" customHeight="1" x14ac:dyDescent="0.3">
      <c r="A441" s="15" t="s">
        <v>58</v>
      </c>
      <c r="B441" s="19" t="s">
        <v>10</v>
      </c>
      <c r="C441" s="16" t="s">
        <v>71</v>
      </c>
      <c r="D441" s="16">
        <v>306</v>
      </c>
    </row>
    <row r="442" spans="1:4" ht="15" customHeight="1" x14ac:dyDescent="0.3">
      <c r="A442" s="10" t="s">
        <v>58</v>
      </c>
      <c r="B442" s="19" t="s">
        <v>10</v>
      </c>
      <c r="C442" s="11" t="s">
        <v>72</v>
      </c>
      <c r="D442" s="11">
        <v>304</v>
      </c>
    </row>
    <row r="443" spans="1:4" ht="15" customHeight="1" x14ac:dyDescent="0.3">
      <c r="A443" s="15" t="s">
        <v>58</v>
      </c>
      <c r="B443" s="20" t="s">
        <v>11</v>
      </c>
      <c r="C443" s="16" t="s">
        <v>70</v>
      </c>
      <c r="D443" s="16">
        <v>320</v>
      </c>
    </row>
    <row r="444" spans="1:4" ht="15" customHeight="1" x14ac:dyDescent="0.3">
      <c r="A444" s="10" t="s">
        <v>58</v>
      </c>
      <c r="B444" s="20" t="s">
        <v>11</v>
      </c>
      <c r="C444" s="11" t="s">
        <v>71</v>
      </c>
      <c r="D444" s="11">
        <v>286</v>
      </c>
    </row>
    <row r="445" spans="1:4" ht="15" customHeight="1" x14ac:dyDescent="0.3">
      <c r="A445" s="15" t="s">
        <v>58</v>
      </c>
      <c r="B445" s="20" t="s">
        <v>11</v>
      </c>
      <c r="C445" s="16" t="s">
        <v>73</v>
      </c>
      <c r="D445" s="16">
        <v>276</v>
      </c>
    </row>
    <row r="446" spans="1:4" ht="15" customHeight="1" x14ac:dyDescent="0.3">
      <c r="A446" s="10" t="s">
        <v>58</v>
      </c>
      <c r="B446" s="20" t="s">
        <v>11</v>
      </c>
      <c r="C446" s="11" t="s">
        <v>74</v>
      </c>
      <c r="D446" s="11">
        <v>288</v>
      </c>
    </row>
    <row r="447" spans="1:4" ht="15" customHeight="1" x14ac:dyDescent="0.3">
      <c r="A447" s="15" t="s">
        <v>58</v>
      </c>
      <c r="B447" s="21" t="s">
        <v>12</v>
      </c>
      <c r="C447" s="16" t="s">
        <v>75</v>
      </c>
      <c r="D447" s="16">
        <v>280</v>
      </c>
    </row>
    <row r="448" spans="1:4" ht="15" customHeight="1" x14ac:dyDescent="0.3">
      <c r="A448" s="10" t="s">
        <v>58</v>
      </c>
      <c r="B448" s="21" t="s">
        <v>12</v>
      </c>
      <c r="C448" s="11" t="s">
        <v>71</v>
      </c>
      <c r="D448" s="11">
        <v>256</v>
      </c>
    </row>
    <row r="449" spans="1:4" ht="15" customHeight="1" x14ac:dyDescent="0.3">
      <c r="A449" s="15" t="s">
        <v>58</v>
      </c>
      <c r="B449" s="21" t="s">
        <v>12</v>
      </c>
      <c r="C449" s="16" t="s">
        <v>73</v>
      </c>
      <c r="D449" s="16">
        <v>238</v>
      </c>
    </row>
    <row r="450" spans="1:4" ht="15" customHeight="1" x14ac:dyDescent="0.3">
      <c r="A450" s="10" t="s">
        <v>58</v>
      </c>
      <c r="B450" s="21" t="s">
        <v>12</v>
      </c>
      <c r="C450" s="11" t="s">
        <v>74</v>
      </c>
      <c r="D450" s="11">
        <v>261</v>
      </c>
    </row>
    <row r="451" spans="1:4" ht="15" customHeight="1" x14ac:dyDescent="0.3">
      <c r="A451" s="15" t="s">
        <v>58</v>
      </c>
      <c r="B451" s="21" t="s">
        <v>12</v>
      </c>
      <c r="C451" s="16" t="s">
        <v>76</v>
      </c>
      <c r="D451" s="16">
        <v>289</v>
      </c>
    </row>
    <row r="452" spans="1:4" ht="15" customHeight="1" x14ac:dyDescent="0.3">
      <c r="A452" s="10" t="s">
        <v>60</v>
      </c>
      <c r="B452" s="18" t="s">
        <v>9</v>
      </c>
      <c r="C452" s="11" t="s">
        <v>70</v>
      </c>
      <c r="D452" s="11">
        <v>331</v>
      </c>
    </row>
    <row r="453" spans="1:4" ht="15" customHeight="1" x14ac:dyDescent="0.3">
      <c r="A453" s="15" t="s">
        <v>60</v>
      </c>
      <c r="B453" s="18" t="s">
        <v>9</v>
      </c>
      <c r="C453" s="16" t="s">
        <v>71</v>
      </c>
      <c r="D453" s="16">
        <v>298</v>
      </c>
    </row>
    <row r="454" spans="1:4" ht="15" customHeight="1" x14ac:dyDescent="0.3">
      <c r="A454" s="10" t="s">
        <v>60</v>
      </c>
      <c r="B454" s="18" t="s">
        <v>9</v>
      </c>
      <c r="C454" s="11" t="s">
        <v>72</v>
      </c>
      <c r="D454" s="11">
        <v>309</v>
      </c>
    </row>
    <row r="455" spans="1:4" ht="15" customHeight="1" x14ac:dyDescent="0.3">
      <c r="A455" s="15" t="s">
        <v>60</v>
      </c>
      <c r="B455" s="19" t="s">
        <v>10</v>
      </c>
      <c r="C455" s="16" t="s">
        <v>70</v>
      </c>
      <c r="D455" s="16">
        <v>310</v>
      </c>
    </row>
    <row r="456" spans="1:4" ht="15" customHeight="1" x14ac:dyDescent="0.3">
      <c r="A456" s="10" t="s">
        <v>60</v>
      </c>
      <c r="B456" s="19" t="s">
        <v>10</v>
      </c>
      <c r="C456" s="11" t="s">
        <v>71</v>
      </c>
      <c r="D456" s="11">
        <v>268</v>
      </c>
    </row>
    <row r="457" spans="1:4" ht="15" customHeight="1" x14ac:dyDescent="0.3">
      <c r="A457" s="15" t="s">
        <v>60</v>
      </c>
      <c r="B457" s="19" t="s">
        <v>10</v>
      </c>
      <c r="C457" s="16" t="s">
        <v>72</v>
      </c>
      <c r="D457" s="16">
        <v>276</v>
      </c>
    </row>
    <row r="458" spans="1:4" ht="15" customHeight="1" x14ac:dyDescent="0.3">
      <c r="A458" s="10" t="s">
        <v>60</v>
      </c>
      <c r="B458" s="20" t="s">
        <v>11</v>
      </c>
      <c r="C458" s="11" t="s">
        <v>70</v>
      </c>
      <c r="D458" s="11">
        <v>312</v>
      </c>
    </row>
    <row r="459" spans="1:4" ht="15" customHeight="1" x14ac:dyDescent="0.3">
      <c r="A459" s="15" t="s">
        <v>60</v>
      </c>
      <c r="B459" s="20" t="s">
        <v>11</v>
      </c>
      <c r="C459" s="16" t="s">
        <v>71</v>
      </c>
      <c r="D459" s="16">
        <v>237</v>
      </c>
    </row>
    <row r="460" spans="1:4" ht="15" customHeight="1" x14ac:dyDescent="0.3">
      <c r="A460" s="10" t="s">
        <v>60</v>
      </c>
      <c r="B460" s="20" t="s">
        <v>11</v>
      </c>
      <c r="C460" s="11" t="s">
        <v>73</v>
      </c>
      <c r="D460" s="11">
        <v>248</v>
      </c>
    </row>
    <row r="461" spans="1:4" ht="15" customHeight="1" x14ac:dyDescent="0.3">
      <c r="A461" s="15" t="s">
        <v>60</v>
      </c>
      <c r="B461" s="20" t="s">
        <v>11</v>
      </c>
      <c r="C461" s="16" t="s">
        <v>74</v>
      </c>
      <c r="D461" s="16">
        <v>247</v>
      </c>
    </row>
    <row r="462" spans="1:4" ht="15" customHeight="1" x14ac:dyDescent="0.3">
      <c r="A462" s="10" t="s">
        <v>60</v>
      </c>
      <c r="B462" s="21" t="s">
        <v>12</v>
      </c>
      <c r="C462" s="11" t="s">
        <v>75</v>
      </c>
      <c r="D462" s="11">
        <v>233</v>
      </c>
    </row>
    <row r="463" spans="1:4" ht="15" customHeight="1" x14ac:dyDescent="0.3">
      <c r="A463" s="15" t="s">
        <v>60</v>
      </c>
      <c r="B463" s="21" t="s">
        <v>12</v>
      </c>
      <c r="C463" s="16" t="s">
        <v>71</v>
      </c>
      <c r="D463" s="16">
        <v>195</v>
      </c>
    </row>
    <row r="464" spans="1:4" ht="15" customHeight="1" x14ac:dyDescent="0.3">
      <c r="A464" s="10" t="s">
        <v>60</v>
      </c>
      <c r="B464" s="21" t="s">
        <v>12</v>
      </c>
      <c r="C464" s="11" t="s">
        <v>73</v>
      </c>
      <c r="D464" s="11">
        <v>200</v>
      </c>
    </row>
    <row r="465" spans="1:4" ht="15" customHeight="1" x14ac:dyDescent="0.3">
      <c r="A465" s="15" t="s">
        <v>60</v>
      </c>
      <c r="B465" s="21" t="s">
        <v>12</v>
      </c>
      <c r="C465" s="16" t="s">
        <v>74</v>
      </c>
      <c r="D465" s="16">
        <v>237</v>
      </c>
    </row>
    <row r="466" spans="1:4" ht="15" customHeight="1" x14ac:dyDescent="0.3">
      <c r="A466" s="10" t="s">
        <v>60</v>
      </c>
      <c r="B466" s="21" t="s">
        <v>12</v>
      </c>
      <c r="C466" s="11" t="s">
        <v>76</v>
      </c>
      <c r="D466" s="11">
        <v>303</v>
      </c>
    </row>
    <row r="467" spans="1:4" ht="15" customHeight="1" x14ac:dyDescent="0.3">
      <c r="A467" s="15" t="s">
        <v>61</v>
      </c>
      <c r="B467" s="18" t="s">
        <v>9</v>
      </c>
      <c r="C467" s="16" t="s">
        <v>70</v>
      </c>
      <c r="D467" s="16">
        <v>320</v>
      </c>
    </row>
    <row r="468" spans="1:4" ht="15" customHeight="1" x14ac:dyDescent="0.3">
      <c r="A468" s="10" t="s">
        <v>61</v>
      </c>
      <c r="B468" s="18" t="s">
        <v>9</v>
      </c>
      <c r="C468" s="11" t="s">
        <v>71</v>
      </c>
      <c r="D468" s="11">
        <v>304</v>
      </c>
    </row>
    <row r="469" spans="1:4" ht="15" customHeight="1" x14ac:dyDescent="0.3">
      <c r="A469" s="15" t="s">
        <v>61</v>
      </c>
      <c r="B469" s="18" t="s">
        <v>9</v>
      </c>
      <c r="C469" s="16" t="s">
        <v>72</v>
      </c>
      <c r="D469" s="16">
        <v>304</v>
      </c>
    </row>
    <row r="470" spans="1:4" ht="15" customHeight="1" x14ac:dyDescent="0.3">
      <c r="A470" s="10" t="s">
        <v>61</v>
      </c>
      <c r="B470" s="19" t="s">
        <v>10</v>
      </c>
      <c r="C470" s="11" t="s">
        <v>70</v>
      </c>
      <c r="D470" s="11">
        <v>298</v>
      </c>
    </row>
    <row r="471" spans="1:4" ht="15" customHeight="1" x14ac:dyDescent="0.3">
      <c r="A471" s="15" t="s">
        <v>61</v>
      </c>
      <c r="B471" s="19" t="s">
        <v>10</v>
      </c>
      <c r="C471" s="16" t="s">
        <v>71</v>
      </c>
      <c r="D471" s="16">
        <v>279</v>
      </c>
    </row>
    <row r="472" spans="1:4" ht="15" customHeight="1" x14ac:dyDescent="0.3">
      <c r="A472" s="10" t="s">
        <v>61</v>
      </c>
      <c r="B472" s="19" t="s">
        <v>10</v>
      </c>
      <c r="C472" s="11" t="s">
        <v>72</v>
      </c>
      <c r="D472" s="11">
        <v>277</v>
      </c>
    </row>
    <row r="473" spans="1:4" ht="15" customHeight="1" x14ac:dyDescent="0.3">
      <c r="A473" s="15" t="s">
        <v>61</v>
      </c>
      <c r="B473" s="20" t="s">
        <v>11</v>
      </c>
      <c r="C473" s="16" t="s">
        <v>70</v>
      </c>
      <c r="D473" s="16">
        <v>284</v>
      </c>
    </row>
    <row r="474" spans="1:4" ht="15" customHeight="1" x14ac:dyDescent="0.3">
      <c r="A474" s="10" t="s">
        <v>61</v>
      </c>
      <c r="B474" s="20" t="s">
        <v>11</v>
      </c>
      <c r="C474" s="11" t="s">
        <v>71</v>
      </c>
      <c r="D474" s="11">
        <v>237</v>
      </c>
    </row>
    <row r="475" spans="1:4" ht="15" customHeight="1" x14ac:dyDescent="0.3">
      <c r="A475" s="15" t="s">
        <v>61</v>
      </c>
      <c r="B475" s="20" t="s">
        <v>11</v>
      </c>
      <c r="C475" s="16" t="s">
        <v>73</v>
      </c>
      <c r="D475" s="16">
        <v>232</v>
      </c>
    </row>
    <row r="476" spans="1:4" ht="15" customHeight="1" x14ac:dyDescent="0.3">
      <c r="A476" s="10" t="s">
        <v>61</v>
      </c>
      <c r="B476" s="20" t="s">
        <v>11</v>
      </c>
      <c r="C476" s="11" t="s">
        <v>74</v>
      </c>
      <c r="D476" s="11">
        <v>237</v>
      </c>
    </row>
    <row r="477" spans="1:4" ht="15" customHeight="1" x14ac:dyDescent="0.3">
      <c r="A477" s="15" t="s">
        <v>61</v>
      </c>
      <c r="B477" s="21" t="s">
        <v>12</v>
      </c>
      <c r="C477" s="16" t="s">
        <v>75</v>
      </c>
      <c r="D477" s="16">
        <v>254</v>
      </c>
    </row>
    <row r="478" spans="1:4" ht="15" customHeight="1" x14ac:dyDescent="0.3">
      <c r="A478" s="10" t="s">
        <v>61</v>
      </c>
      <c r="B478" s="21" t="s">
        <v>12</v>
      </c>
      <c r="C478" s="11" t="s">
        <v>71</v>
      </c>
      <c r="D478" s="11">
        <v>200</v>
      </c>
    </row>
    <row r="479" spans="1:4" ht="15" customHeight="1" x14ac:dyDescent="0.3">
      <c r="A479" s="15" t="s">
        <v>61</v>
      </c>
      <c r="B479" s="21" t="s">
        <v>12</v>
      </c>
      <c r="C479" s="16" t="s">
        <v>73</v>
      </c>
      <c r="D479" s="16">
        <v>195</v>
      </c>
    </row>
    <row r="480" spans="1:4" ht="15" customHeight="1" x14ac:dyDescent="0.3">
      <c r="A480" s="10" t="s">
        <v>61</v>
      </c>
      <c r="B480" s="21" t="s">
        <v>12</v>
      </c>
      <c r="C480" s="11" t="s">
        <v>74</v>
      </c>
      <c r="D480" s="11">
        <v>222</v>
      </c>
    </row>
    <row r="481" spans="1:4" ht="15" customHeight="1" x14ac:dyDescent="0.3">
      <c r="A481" s="15" t="s">
        <v>61</v>
      </c>
      <c r="B481" s="21" t="s">
        <v>12</v>
      </c>
      <c r="C481" s="16" t="s">
        <v>76</v>
      </c>
      <c r="D481" s="16">
        <v>275</v>
      </c>
    </row>
    <row r="482" spans="1:4" ht="15" customHeight="1" x14ac:dyDescent="0.3">
      <c r="A482" s="10" t="s">
        <v>62</v>
      </c>
      <c r="B482" s="18" t="s">
        <v>9</v>
      </c>
      <c r="C482" s="11" t="s">
        <v>70</v>
      </c>
      <c r="D482" s="11">
        <v>294</v>
      </c>
    </row>
    <row r="483" spans="1:4" ht="15" customHeight="1" x14ac:dyDescent="0.3">
      <c r="A483" s="15" t="s">
        <v>62</v>
      </c>
      <c r="B483" s="18" t="s">
        <v>9</v>
      </c>
      <c r="C483" s="16" t="s">
        <v>71</v>
      </c>
      <c r="D483" s="16">
        <v>278</v>
      </c>
    </row>
    <row r="484" spans="1:4" ht="15" customHeight="1" x14ac:dyDescent="0.3">
      <c r="A484" s="10" t="s">
        <v>62</v>
      </c>
      <c r="B484" s="18" t="s">
        <v>9</v>
      </c>
      <c r="C484" s="11" t="s">
        <v>72</v>
      </c>
      <c r="D484" s="11">
        <v>282</v>
      </c>
    </row>
    <row r="485" spans="1:4" ht="15" customHeight="1" x14ac:dyDescent="0.3">
      <c r="A485" s="15" t="s">
        <v>62</v>
      </c>
      <c r="B485" s="19" t="s">
        <v>10</v>
      </c>
      <c r="C485" s="16" t="s">
        <v>70</v>
      </c>
      <c r="D485" s="16">
        <v>286</v>
      </c>
    </row>
    <row r="486" spans="1:4" ht="15" customHeight="1" x14ac:dyDescent="0.3">
      <c r="A486" s="10" t="s">
        <v>62</v>
      </c>
      <c r="B486" s="19" t="s">
        <v>10</v>
      </c>
      <c r="C486" s="11" t="s">
        <v>71</v>
      </c>
      <c r="D486" s="11">
        <v>265</v>
      </c>
    </row>
    <row r="487" spans="1:4" ht="15" customHeight="1" x14ac:dyDescent="0.3">
      <c r="A487" s="15" t="s">
        <v>62</v>
      </c>
      <c r="B487" s="19" t="s">
        <v>10</v>
      </c>
      <c r="C487" s="16" t="s">
        <v>72</v>
      </c>
      <c r="D487" s="16">
        <v>260</v>
      </c>
    </row>
    <row r="488" spans="1:4" ht="15" customHeight="1" x14ac:dyDescent="0.3">
      <c r="A488" s="10" t="s">
        <v>62</v>
      </c>
      <c r="B488" s="20" t="s">
        <v>11</v>
      </c>
      <c r="C488" s="11" t="s">
        <v>70</v>
      </c>
      <c r="D488" s="11">
        <v>289</v>
      </c>
    </row>
    <row r="489" spans="1:4" ht="15" customHeight="1" x14ac:dyDescent="0.3">
      <c r="A489" s="15" t="s">
        <v>62</v>
      </c>
      <c r="B489" s="20" t="s">
        <v>11</v>
      </c>
      <c r="C489" s="16" t="s">
        <v>71</v>
      </c>
      <c r="D489" s="16">
        <v>243</v>
      </c>
    </row>
    <row r="490" spans="1:4" ht="15" customHeight="1" x14ac:dyDescent="0.3">
      <c r="A490" s="10" t="s">
        <v>62</v>
      </c>
      <c r="B490" s="20" t="s">
        <v>11</v>
      </c>
      <c r="C490" s="11" t="s">
        <v>73</v>
      </c>
      <c r="D490" s="11">
        <v>235</v>
      </c>
    </row>
    <row r="491" spans="1:4" ht="15" customHeight="1" x14ac:dyDescent="0.3">
      <c r="A491" s="15" t="s">
        <v>62</v>
      </c>
      <c r="B491" s="20" t="s">
        <v>11</v>
      </c>
      <c r="C491" s="16" t="s">
        <v>74</v>
      </c>
      <c r="D491" s="16">
        <v>235</v>
      </c>
    </row>
    <row r="492" spans="1:4" ht="15" customHeight="1" x14ac:dyDescent="0.3">
      <c r="A492" s="10" t="s">
        <v>62</v>
      </c>
      <c r="B492" s="21" t="s">
        <v>12</v>
      </c>
      <c r="C492" s="11" t="s">
        <v>75</v>
      </c>
      <c r="D492" s="11">
        <v>242</v>
      </c>
    </row>
    <row r="493" spans="1:4" ht="15" customHeight="1" x14ac:dyDescent="0.3">
      <c r="A493" s="15" t="s">
        <v>62</v>
      </c>
      <c r="B493" s="21" t="s">
        <v>12</v>
      </c>
      <c r="C493" s="16" t="s">
        <v>71</v>
      </c>
      <c r="D493" s="16">
        <v>210</v>
      </c>
    </row>
    <row r="494" spans="1:4" ht="15" customHeight="1" x14ac:dyDescent="0.3">
      <c r="A494" s="10" t="s">
        <v>62</v>
      </c>
      <c r="B494" s="21" t="s">
        <v>12</v>
      </c>
      <c r="C494" s="11" t="s">
        <v>73</v>
      </c>
      <c r="D494" s="11">
        <v>202</v>
      </c>
    </row>
    <row r="495" spans="1:4" ht="15" customHeight="1" x14ac:dyDescent="0.3">
      <c r="A495" s="15" t="s">
        <v>62</v>
      </c>
      <c r="B495" s="21" t="s">
        <v>12</v>
      </c>
      <c r="C495" s="16" t="s">
        <v>74</v>
      </c>
      <c r="D495" s="16">
        <v>226</v>
      </c>
    </row>
    <row r="496" spans="1:4" ht="15" customHeight="1" x14ac:dyDescent="0.3">
      <c r="A496" s="10" t="s">
        <v>62</v>
      </c>
      <c r="B496" s="21" t="s">
        <v>12</v>
      </c>
      <c r="C496" s="11" t="s">
        <v>76</v>
      </c>
      <c r="D496" s="11">
        <v>291</v>
      </c>
    </row>
    <row r="497" spans="1:4" ht="15" customHeight="1" x14ac:dyDescent="0.3">
      <c r="A497" s="15" t="s">
        <v>63</v>
      </c>
      <c r="B497" s="18" t="s">
        <v>9</v>
      </c>
      <c r="C497" s="16" t="s">
        <v>70</v>
      </c>
      <c r="D497" s="16">
        <v>313</v>
      </c>
    </row>
    <row r="498" spans="1:4" ht="15" customHeight="1" x14ac:dyDescent="0.3">
      <c r="A498" s="10" t="s">
        <v>63</v>
      </c>
      <c r="B498" s="18" t="s">
        <v>9</v>
      </c>
      <c r="C498" s="11" t="s">
        <v>71</v>
      </c>
      <c r="D498" s="11">
        <v>292</v>
      </c>
    </row>
    <row r="499" spans="1:4" ht="15" customHeight="1" x14ac:dyDescent="0.3">
      <c r="A499" s="15" t="s">
        <v>63</v>
      </c>
      <c r="B499" s="18" t="s">
        <v>9</v>
      </c>
      <c r="C499" s="16" t="s">
        <v>72</v>
      </c>
      <c r="D499" s="16">
        <v>297</v>
      </c>
    </row>
    <row r="500" spans="1:4" ht="15" customHeight="1" x14ac:dyDescent="0.3">
      <c r="A500" s="10" t="s">
        <v>63</v>
      </c>
      <c r="B500" s="19" t="s">
        <v>10</v>
      </c>
      <c r="C500" s="11" t="s">
        <v>70</v>
      </c>
      <c r="D500" s="11">
        <v>304</v>
      </c>
    </row>
    <row r="501" spans="1:4" ht="15" customHeight="1" x14ac:dyDescent="0.3">
      <c r="A501" s="15" t="s">
        <v>63</v>
      </c>
      <c r="B501" s="19" t="s">
        <v>10</v>
      </c>
      <c r="C501" s="16" t="s">
        <v>71</v>
      </c>
      <c r="D501" s="16">
        <v>275</v>
      </c>
    </row>
    <row r="502" spans="1:4" ht="15" customHeight="1" x14ac:dyDescent="0.3">
      <c r="A502" s="10" t="s">
        <v>63</v>
      </c>
      <c r="B502" s="19" t="s">
        <v>10</v>
      </c>
      <c r="C502" s="11" t="s">
        <v>72</v>
      </c>
      <c r="D502" s="11">
        <v>277</v>
      </c>
    </row>
    <row r="503" spans="1:4" ht="15" customHeight="1" x14ac:dyDescent="0.3">
      <c r="A503" s="15" t="s">
        <v>63</v>
      </c>
      <c r="B503" s="20" t="s">
        <v>11</v>
      </c>
      <c r="C503" s="16" t="s">
        <v>70</v>
      </c>
      <c r="D503" s="16">
        <v>303</v>
      </c>
    </row>
    <row r="504" spans="1:4" ht="15" customHeight="1" x14ac:dyDescent="0.3">
      <c r="A504" s="10" t="s">
        <v>63</v>
      </c>
      <c r="B504" s="20" t="s">
        <v>11</v>
      </c>
      <c r="C504" s="11" t="s">
        <v>71</v>
      </c>
      <c r="D504" s="11">
        <v>252</v>
      </c>
    </row>
    <row r="505" spans="1:4" ht="15" customHeight="1" x14ac:dyDescent="0.3">
      <c r="A505" s="15" t="s">
        <v>63</v>
      </c>
      <c r="B505" s="20" t="s">
        <v>11</v>
      </c>
      <c r="C505" s="16" t="s">
        <v>73</v>
      </c>
      <c r="D505" s="16">
        <v>252</v>
      </c>
    </row>
    <row r="506" spans="1:4" ht="15" customHeight="1" x14ac:dyDescent="0.3">
      <c r="A506" s="10" t="s">
        <v>63</v>
      </c>
      <c r="B506" s="20" t="s">
        <v>11</v>
      </c>
      <c r="C506" s="11" t="s">
        <v>74</v>
      </c>
      <c r="D506" s="11">
        <v>257</v>
      </c>
    </row>
    <row r="507" spans="1:4" ht="15" customHeight="1" x14ac:dyDescent="0.3">
      <c r="A507" s="15" t="s">
        <v>63</v>
      </c>
      <c r="B507" s="21" t="s">
        <v>12</v>
      </c>
      <c r="C507" s="16" t="s">
        <v>75</v>
      </c>
      <c r="D507" s="16">
        <v>250</v>
      </c>
    </row>
    <row r="508" spans="1:4" ht="15" customHeight="1" x14ac:dyDescent="0.3">
      <c r="A508" s="10" t="s">
        <v>63</v>
      </c>
      <c r="B508" s="21" t="s">
        <v>12</v>
      </c>
      <c r="C508" s="11" t="s">
        <v>71</v>
      </c>
      <c r="D508" s="11">
        <v>214</v>
      </c>
    </row>
    <row r="509" spans="1:4" ht="15" customHeight="1" x14ac:dyDescent="0.3">
      <c r="A509" s="15" t="s">
        <v>63</v>
      </c>
      <c r="B509" s="21" t="s">
        <v>12</v>
      </c>
      <c r="C509" s="16" t="s">
        <v>73</v>
      </c>
      <c r="D509" s="16">
        <v>198</v>
      </c>
    </row>
    <row r="510" spans="1:4" ht="15" customHeight="1" x14ac:dyDescent="0.3">
      <c r="A510" s="10" t="s">
        <v>63</v>
      </c>
      <c r="B510" s="21" t="s">
        <v>12</v>
      </c>
      <c r="C510" s="11" t="s">
        <v>74</v>
      </c>
      <c r="D510" s="11">
        <v>225</v>
      </c>
    </row>
    <row r="511" spans="1:4" ht="15" customHeight="1" x14ac:dyDescent="0.3">
      <c r="A511" s="15" t="s">
        <v>63</v>
      </c>
      <c r="B511" s="21" t="s">
        <v>12</v>
      </c>
      <c r="C511" s="16" t="s">
        <v>76</v>
      </c>
      <c r="D511" s="16">
        <v>273</v>
      </c>
    </row>
    <row r="512" spans="1:4" ht="15" customHeight="1" x14ac:dyDescent="0.3">
      <c r="A512" s="10" t="s">
        <v>64</v>
      </c>
      <c r="B512" s="18" t="s">
        <v>9</v>
      </c>
      <c r="C512" s="11" t="s">
        <v>70</v>
      </c>
      <c r="D512" s="11">
        <v>314</v>
      </c>
    </row>
    <row r="513" spans="1:4" ht="15" customHeight="1" x14ac:dyDescent="0.3">
      <c r="A513" s="15" t="s">
        <v>64</v>
      </c>
      <c r="B513" s="18" t="s">
        <v>9</v>
      </c>
      <c r="C513" s="16" t="s">
        <v>71</v>
      </c>
      <c r="D513" s="16">
        <v>298</v>
      </c>
    </row>
    <row r="514" spans="1:4" ht="15" customHeight="1" x14ac:dyDescent="0.3">
      <c r="A514" s="10" t="s">
        <v>64</v>
      </c>
      <c r="B514" s="18" t="s">
        <v>9</v>
      </c>
      <c r="C514" s="11" t="s">
        <v>72</v>
      </c>
      <c r="D514" s="11">
        <v>300</v>
      </c>
    </row>
    <row r="515" spans="1:4" ht="15" customHeight="1" x14ac:dyDescent="0.3">
      <c r="A515" s="15" t="s">
        <v>64</v>
      </c>
      <c r="B515" s="19" t="s">
        <v>10</v>
      </c>
      <c r="C515" s="16" t="s">
        <v>70</v>
      </c>
      <c r="D515" s="16">
        <v>302</v>
      </c>
    </row>
    <row r="516" spans="1:4" ht="15" customHeight="1" x14ac:dyDescent="0.3">
      <c r="A516" s="10" t="s">
        <v>64</v>
      </c>
      <c r="B516" s="19" t="s">
        <v>10</v>
      </c>
      <c r="C516" s="11" t="s">
        <v>71</v>
      </c>
      <c r="D516" s="11">
        <v>278</v>
      </c>
    </row>
    <row r="517" spans="1:4" ht="15" customHeight="1" x14ac:dyDescent="0.3">
      <c r="A517" s="15" t="s">
        <v>64</v>
      </c>
      <c r="B517" s="19" t="s">
        <v>10</v>
      </c>
      <c r="C517" s="16" t="s">
        <v>72</v>
      </c>
      <c r="D517" s="16">
        <v>279</v>
      </c>
    </row>
    <row r="518" spans="1:4" ht="15" customHeight="1" x14ac:dyDescent="0.3">
      <c r="A518" s="10" t="s">
        <v>64</v>
      </c>
      <c r="B518" s="20" t="s">
        <v>11</v>
      </c>
      <c r="C518" s="11" t="s">
        <v>70</v>
      </c>
      <c r="D518" s="11">
        <v>286</v>
      </c>
    </row>
    <row r="519" spans="1:4" ht="15" customHeight="1" x14ac:dyDescent="0.3">
      <c r="A519" s="15" t="s">
        <v>64</v>
      </c>
      <c r="B519" s="20" t="s">
        <v>11</v>
      </c>
      <c r="C519" s="16" t="s">
        <v>71</v>
      </c>
      <c r="D519" s="16">
        <v>247</v>
      </c>
    </row>
    <row r="520" spans="1:4" ht="15" customHeight="1" x14ac:dyDescent="0.3">
      <c r="A520" s="10" t="s">
        <v>64</v>
      </c>
      <c r="B520" s="20" t="s">
        <v>11</v>
      </c>
      <c r="C520" s="11" t="s">
        <v>73</v>
      </c>
      <c r="D520" s="11">
        <v>237</v>
      </c>
    </row>
    <row r="521" spans="1:4" ht="15" customHeight="1" x14ac:dyDescent="0.3">
      <c r="A521" s="15" t="s">
        <v>64</v>
      </c>
      <c r="B521" s="20" t="s">
        <v>11</v>
      </c>
      <c r="C521" s="16" t="s">
        <v>74</v>
      </c>
      <c r="D521" s="16">
        <v>244</v>
      </c>
    </row>
    <row r="522" spans="1:4" ht="15" customHeight="1" x14ac:dyDescent="0.3">
      <c r="A522" s="10" t="s">
        <v>64</v>
      </c>
      <c r="B522" s="21" t="s">
        <v>12</v>
      </c>
      <c r="C522" s="11" t="s">
        <v>75</v>
      </c>
      <c r="D522" s="11">
        <v>252</v>
      </c>
    </row>
    <row r="523" spans="1:4" ht="15" customHeight="1" x14ac:dyDescent="0.3">
      <c r="A523" s="15" t="s">
        <v>64</v>
      </c>
      <c r="B523" s="21" t="s">
        <v>12</v>
      </c>
      <c r="C523" s="16" t="s">
        <v>71</v>
      </c>
      <c r="D523" s="16">
        <v>211</v>
      </c>
    </row>
    <row r="524" spans="1:4" ht="15" customHeight="1" x14ac:dyDescent="0.3">
      <c r="A524" s="10" t="s">
        <v>64</v>
      </c>
      <c r="B524" s="21" t="s">
        <v>12</v>
      </c>
      <c r="C524" s="11" t="s">
        <v>73</v>
      </c>
      <c r="D524" s="11">
        <v>191</v>
      </c>
    </row>
    <row r="525" spans="1:4" ht="15" customHeight="1" x14ac:dyDescent="0.3">
      <c r="A525" s="15" t="s">
        <v>64</v>
      </c>
      <c r="B525" s="21" t="s">
        <v>12</v>
      </c>
      <c r="C525" s="16" t="s">
        <v>74</v>
      </c>
      <c r="D525" s="16">
        <v>214</v>
      </c>
    </row>
    <row r="526" spans="1:4" ht="15" customHeight="1" x14ac:dyDescent="0.3">
      <c r="A526" s="10" t="s">
        <v>64</v>
      </c>
      <c r="B526" s="21" t="s">
        <v>12</v>
      </c>
      <c r="C526" s="11" t="s">
        <v>76</v>
      </c>
      <c r="D526" s="11">
        <v>253</v>
      </c>
    </row>
    <row r="527" spans="1:4" ht="15" customHeight="1" x14ac:dyDescent="0.3">
      <c r="A527" s="15" t="s">
        <v>65</v>
      </c>
      <c r="B527" s="18" t="s">
        <v>9</v>
      </c>
      <c r="C527" s="16" t="s">
        <v>70</v>
      </c>
      <c r="D527" s="16">
        <v>311</v>
      </c>
    </row>
    <row r="528" spans="1:4" ht="15" customHeight="1" x14ac:dyDescent="0.3">
      <c r="A528" s="10" t="s">
        <v>65</v>
      </c>
      <c r="B528" s="18" t="s">
        <v>9</v>
      </c>
      <c r="C528" s="11" t="s">
        <v>71</v>
      </c>
      <c r="D528" s="11">
        <v>291</v>
      </c>
    </row>
    <row r="529" spans="1:4" ht="15" customHeight="1" x14ac:dyDescent="0.3">
      <c r="A529" s="15" t="s">
        <v>65</v>
      </c>
      <c r="B529" s="18" t="s">
        <v>9</v>
      </c>
      <c r="C529" s="16" t="s">
        <v>72</v>
      </c>
      <c r="D529" s="16">
        <v>296</v>
      </c>
    </row>
    <row r="530" spans="1:4" ht="15" customHeight="1" x14ac:dyDescent="0.3">
      <c r="A530" s="10" t="s">
        <v>65</v>
      </c>
      <c r="B530" s="19" t="s">
        <v>10</v>
      </c>
      <c r="C530" s="11" t="s">
        <v>70</v>
      </c>
      <c r="D530" s="11">
        <v>304</v>
      </c>
    </row>
    <row r="531" spans="1:4" ht="15" customHeight="1" x14ac:dyDescent="0.3">
      <c r="A531" s="15" t="s">
        <v>65</v>
      </c>
      <c r="B531" s="19" t="s">
        <v>10</v>
      </c>
      <c r="C531" s="16" t="s">
        <v>71</v>
      </c>
      <c r="D531" s="16">
        <v>275</v>
      </c>
    </row>
    <row r="532" spans="1:4" ht="15" customHeight="1" x14ac:dyDescent="0.3">
      <c r="A532" s="10" t="s">
        <v>65</v>
      </c>
      <c r="B532" s="19" t="s">
        <v>10</v>
      </c>
      <c r="C532" s="11" t="s">
        <v>72</v>
      </c>
      <c r="D532" s="11">
        <v>278</v>
      </c>
    </row>
    <row r="533" spans="1:4" ht="15" customHeight="1" x14ac:dyDescent="0.3">
      <c r="A533" s="15" t="s">
        <v>65</v>
      </c>
      <c r="B533" s="20" t="s">
        <v>11</v>
      </c>
      <c r="C533" s="16" t="s">
        <v>70</v>
      </c>
      <c r="D533" s="16">
        <v>308</v>
      </c>
    </row>
    <row r="534" spans="1:4" ht="15" customHeight="1" x14ac:dyDescent="0.3">
      <c r="A534" s="10" t="s">
        <v>65</v>
      </c>
      <c r="B534" s="20" t="s">
        <v>11</v>
      </c>
      <c r="C534" s="11" t="s">
        <v>71</v>
      </c>
      <c r="D534" s="11">
        <v>253</v>
      </c>
    </row>
    <row r="535" spans="1:4" ht="15" customHeight="1" x14ac:dyDescent="0.3">
      <c r="A535" s="15" t="s">
        <v>65</v>
      </c>
      <c r="B535" s="20" t="s">
        <v>11</v>
      </c>
      <c r="C535" s="16" t="s">
        <v>73</v>
      </c>
      <c r="D535" s="16">
        <v>250</v>
      </c>
    </row>
    <row r="536" spans="1:4" ht="15" customHeight="1" x14ac:dyDescent="0.3">
      <c r="A536" s="10" t="s">
        <v>65</v>
      </c>
      <c r="B536" s="20" t="s">
        <v>11</v>
      </c>
      <c r="C536" s="11" t="s">
        <v>74</v>
      </c>
      <c r="D536" s="11">
        <v>253</v>
      </c>
    </row>
    <row r="537" spans="1:4" ht="15" customHeight="1" x14ac:dyDescent="0.3">
      <c r="A537" s="15" t="s">
        <v>65</v>
      </c>
      <c r="B537" s="21" t="s">
        <v>12</v>
      </c>
      <c r="C537" s="16" t="s">
        <v>75</v>
      </c>
      <c r="D537" s="16">
        <v>263</v>
      </c>
    </row>
    <row r="538" spans="1:4" ht="15" customHeight="1" x14ac:dyDescent="0.3">
      <c r="A538" s="10" t="s">
        <v>65</v>
      </c>
      <c r="B538" s="21" t="s">
        <v>12</v>
      </c>
      <c r="C538" s="11" t="s">
        <v>71</v>
      </c>
      <c r="D538" s="11">
        <v>218</v>
      </c>
    </row>
    <row r="539" spans="1:4" ht="15" customHeight="1" x14ac:dyDescent="0.3">
      <c r="A539" s="15" t="s">
        <v>65</v>
      </c>
      <c r="B539" s="21" t="s">
        <v>12</v>
      </c>
      <c r="C539" s="16" t="s">
        <v>73</v>
      </c>
      <c r="D539" s="16">
        <v>207</v>
      </c>
    </row>
    <row r="540" spans="1:4" ht="15" customHeight="1" x14ac:dyDescent="0.3">
      <c r="A540" s="10" t="s">
        <v>65</v>
      </c>
      <c r="B540" s="21" t="s">
        <v>12</v>
      </c>
      <c r="C540" s="11" t="s">
        <v>74</v>
      </c>
      <c r="D540" s="11">
        <v>231</v>
      </c>
    </row>
    <row r="541" spans="1:4" ht="15" customHeight="1" x14ac:dyDescent="0.3">
      <c r="A541" s="15" t="s">
        <v>65</v>
      </c>
      <c r="B541" s="21" t="s">
        <v>12</v>
      </c>
      <c r="C541" s="16" t="s">
        <v>76</v>
      </c>
      <c r="D541" s="16">
        <v>280</v>
      </c>
    </row>
    <row r="542" spans="1:4" ht="15" customHeight="1" x14ac:dyDescent="0.3">
      <c r="A542" s="10" t="s">
        <v>66</v>
      </c>
      <c r="B542" s="18" t="s">
        <v>9</v>
      </c>
      <c r="C542" s="11" t="s">
        <v>70</v>
      </c>
      <c r="D542" s="11">
        <v>337</v>
      </c>
    </row>
    <row r="543" spans="1:4" ht="15" customHeight="1" x14ac:dyDescent="0.3">
      <c r="A543" s="15" t="s">
        <v>66</v>
      </c>
      <c r="B543" s="18" t="s">
        <v>9</v>
      </c>
      <c r="C543" s="16" t="s">
        <v>71</v>
      </c>
      <c r="D543" s="16">
        <v>314</v>
      </c>
    </row>
    <row r="544" spans="1:4" ht="15" customHeight="1" x14ac:dyDescent="0.3">
      <c r="A544" s="10" t="s">
        <v>66</v>
      </c>
      <c r="B544" s="18" t="s">
        <v>9</v>
      </c>
      <c r="C544" s="11" t="s">
        <v>72</v>
      </c>
      <c r="D544" s="11">
        <v>314</v>
      </c>
    </row>
    <row r="545" spans="1:4" ht="15" customHeight="1" x14ac:dyDescent="0.3">
      <c r="A545" s="15" t="s">
        <v>66</v>
      </c>
      <c r="B545" s="19" t="s">
        <v>10</v>
      </c>
      <c r="C545" s="16" t="s">
        <v>70</v>
      </c>
      <c r="D545" s="16">
        <v>318</v>
      </c>
    </row>
    <row r="546" spans="1:4" ht="15" customHeight="1" x14ac:dyDescent="0.3">
      <c r="A546" s="10" t="s">
        <v>66</v>
      </c>
      <c r="B546" s="19" t="s">
        <v>10</v>
      </c>
      <c r="C546" s="11" t="s">
        <v>71</v>
      </c>
      <c r="D546" s="11">
        <v>288</v>
      </c>
    </row>
    <row r="547" spans="1:4" ht="15" customHeight="1" x14ac:dyDescent="0.3">
      <c r="A547" s="15" t="s">
        <v>66</v>
      </c>
      <c r="B547" s="19" t="s">
        <v>10</v>
      </c>
      <c r="C547" s="16" t="s">
        <v>72</v>
      </c>
      <c r="D547" s="16">
        <v>292</v>
      </c>
    </row>
    <row r="548" spans="1:4" ht="15" customHeight="1" x14ac:dyDescent="0.3">
      <c r="A548" s="10" t="s">
        <v>66</v>
      </c>
      <c r="B548" s="20" t="s">
        <v>11</v>
      </c>
      <c r="C548" s="11" t="s">
        <v>70</v>
      </c>
      <c r="D548" s="11">
        <v>315</v>
      </c>
    </row>
    <row r="549" spans="1:4" ht="15" customHeight="1" x14ac:dyDescent="0.3">
      <c r="A549" s="15" t="s">
        <v>66</v>
      </c>
      <c r="B549" s="20" t="s">
        <v>11</v>
      </c>
      <c r="C549" s="16" t="s">
        <v>71</v>
      </c>
      <c r="D549" s="16">
        <v>258</v>
      </c>
    </row>
    <row r="550" spans="1:4" ht="15" customHeight="1" x14ac:dyDescent="0.3">
      <c r="A550" s="10" t="s">
        <v>66</v>
      </c>
      <c r="B550" s="20" t="s">
        <v>11</v>
      </c>
      <c r="C550" s="11" t="s">
        <v>73</v>
      </c>
      <c r="D550" s="11">
        <v>260</v>
      </c>
    </row>
    <row r="551" spans="1:4" ht="15" customHeight="1" x14ac:dyDescent="0.3">
      <c r="A551" s="15" t="s">
        <v>66</v>
      </c>
      <c r="B551" s="20" t="s">
        <v>11</v>
      </c>
      <c r="C551" s="16" t="s">
        <v>74</v>
      </c>
      <c r="D551" s="16">
        <v>265</v>
      </c>
    </row>
    <row r="552" spans="1:4" ht="15" customHeight="1" x14ac:dyDescent="0.3">
      <c r="A552" s="10" t="s">
        <v>66</v>
      </c>
      <c r="B552" s="21" t="s">
        <v>12</v>
      </c>
      <c r="C552" s="11" t="s">
        <v>75</v>
      </c>
      <c r="D552" s="11">
        <v>265</v>
      </c>
    </row>
    <row r="553" spans="1:4" ht="15" customHeight="1" x14ac:dyDescent="0.3">
      <c r="A553" s="15" t="s">
        <v>66</v>
      </c>
      <c r="B553" s="21" t="s">
        <v>12</v>
      </c>
      <c r="C553" s="16" t="s">
        <v>71</v>
      </c>
      <c r="D553" s="16">
        <v>214</v>
      </c>
    </row>
    <row r="554" spans="1:4" ht="15" customHeight="1" x14ac:dyDescent="0.3">
      <c r="A554" s="10" t="s">
        <v>66</v>
      </c>
      <c r="B554" s="21" t="s">
        <v>12</v>
      </c>
      <c r="C554" s="11" t="s">
        <v>73</v>
      </c>
      <c r="D554" s="11">
        <v>205</v>
      </c>
    </row>
    <row r="555" spans="1:4" ht="15" customHeight="1" x14ac:dyDescent="0.3">
      <c r="A555" s="15" t="s">
        <v>66</v>
      </c>
      <c r="B555" s="21" t="s">
        <v>12</v>
      </c>
      <c r="C555" s="16" t="s">
        <v>74</v>
      </c>
      <c r="D555" s="16">
        <v>232</v>
      </c>
    </row>
    <row r="556" spans="1:4" ht="15" customHeight="1" x14ac:dyDescent="0.3">
      <c r="A556" s="10" t="s">
        <v>66</v>
      </c>
      <c r="B556" s="21" t="s">
        <v>12</v>
      </c>
      <c r="C556" s="11" t="s">
        <v>76</v>
      </c>
      <c r="D556" s="11">
        <v>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"/>
  <sheetViews>
    <sheetView workbookViewId="0">
      <pane ySplit="1" topLeftCell="A87" activePane="bottomLeft" state="frozen"/>
      <selection pane="bottomLeft"/>
    </sheetView>
  </sheetViews>
  <sheetFormatPr defaultRowHeight="14.4" x14ac:dyDescent="0.3"/>
  <cols>
    <col min="1" max="1" width="30" customWidth="1"/>
    <col min="2" max="2" width="26" customWidth="1"/>
    <col min="3" max="4" width="14" customWidth="1"/>
    <col min="5" max="5" width="12" customWidth="1"/>
  </cols>
  <sheetData>
    <row r="1" spans="1:5" ht="19.95" customHeight="1" x14ac:dyDescent="0.3">
      <c r="A1" s="22" t="s">
        <v>1</v>
      </c>
      <c r="B1" s="22" t="s">
        <v>77</v>
      </c>
      <c r="C1" s="22" t="s">
        <v>78</v>
      </c>
      <c r="D1" s="22" t="s">
        <v>79</v>
      </c>
      <c r="E1" s="22" t="s">
        <v>80</v>
      </c>
    </row>
    <row r="2" spans="1:5" ht="15" customHeight="1" x14ac:dyDescent="0.3">
      <c r="A2" s="10" t="s">
        <v>22</v>
      </c>
      <c r="B2" s="23" t="s">
        <v>81</v>
      </c>
      <c r="C2" s="11">
        <v>416</v>
      </c>
      <c r="D2" s="11">
        <v>415</v>
      </c>
      <c r="E2" s="13">
        <v>99.8</v>
      </c>
    </row>
    <row r="3" spans="1:5" ht="15" customHeight="1" x14ac:dyDescent="0.3">
      <c r="A3" s="15" t="s">
        <v>22</v>
      </c>
      <c r="B3" s="24" t="s">
        <v>82</v>
      </c>
      <c r="C3" s="16">
        <v>416</v>
      </c>
      <c r="D3" s="16">
        <v>386</v>
      </c>
      <c r="E3" s="13">
        <v>92.8</v>
      </c>
    </row>
    <row r="4" spans="1:5" ht="15" customHeight="1" x14ac:dyDescent="0.3">
      <c r="A4" s="10" t="s">
        <v>22</v>
      </c>
      <c r="B4" s="23" t="s">
        <v>83</v>
      </c>
      <c r="C4" s="11">
        <v>416</v>
      </c>
      <c r="D4" s="11">
        <v>168</v>
      </c>
      <c r="E4" s="13">
        <v>40.4</v>
      </c>
    </row>
    <row r="5" spans="1:5" ht="15" customHeight="1" x14ac:dyDescent="0.3">
      <c r="A5" s="15" t="s">
        <v>22</v>
      </c>
      <c r="B5" s="24" t="s">
        <v>84</v>
      </c>
      <c r="C5" s="16">
        <v>416</v>
      </c>
      <c r="D5" s="16">
        <v>416</v>
      </c>
      <c r="E5" s="13">
        <v>100</v>
      </c>
    </row>
    <row r="6" spans="1:5" ht="15" customHeight="1" x14ac:dyDescent="0.3">
      <c r="A6" s="10" t="s">
        <v>22</v>
      </c>
      <c r="B6" s="23" t="s">
        <v>85</v>
      </c>
      <c r="C6" s="11">
        <v>416</v>
      </c>
      <c r="D6" s="11">
        <v>400</v>
      </c>
      <c r="E6" s="13">
        <v>96.2</v>
      </c>
    </row>
    <row r="7" spans="1:5" ht="15" customHeight="1" x14ac:dyDescent="0.3">
      <c r="A7" s="15" t="s">
        <v>24</v>
      </c>
      <c r="B7" s="24" t="s">
        <v>81</v>
      </c>
      <c r="C7" s="16">
        <v>61948</v>
      </c>
      <c r="D7" s="16">
        <v>59870</v>
      </c>
      <c r="E7" s="13">
        <v>96.6</v>
      </c>
    </row>
    <row r="8" spans="1:5" ht="15" customHeight="1" x14ac:dyDescent="0.3">
      <c r="A8" s="10" t="s">
        <v>24</v>
      </c>
      <c r="B8" s="23" t="s">
        <v>82</v>
      </c>
      <c r="C8" s="11">
        <v>61948</v>
      </c>
      <c r="D8" s="11">
        <v>61223</v>
      </c>
      <c r="E8" s="13">
        <v>98.8</v>
      </c>
    </row>
    <row r="9" spans="1:5" ht="15" customHeight="1" x14ac:dyDescent="0.3">
      <c r="A9" s="15" t="s">
        <v>24</v>
      </c>
      <c r="B9" s="24" t="s">
        <v>83</v>
      </c>
      <c r="C9" s="16">
        <v>61948</v>
      </c>
      <c r="D9" s="16">
        <v>7245</v>
      </c>
      <c r="E9" s="13">
        <v>11.7</v>
      </c>
    </row>
    <row r="10" spans="1:5" ht="15" customHeight="1" x14ac:dyDescent="0.3">
      <c r="A10" s="10" t="s">
        <v>24</v>
      </c>
      <c r="B10" s="23" t="s">
        <v>84</v>
      </c>
      <c r="C10" s="11">
        <v>61948</v>
      </c>
      <c r="D10" s="11">
        <v>61915</v>
      </c>
      <c r="E10" s="13">
        <v>99.9</v>
      </c>
    </row>
    <row r="11" spans="1:5" ht="15" customHeight="1" x14ac:dyDescent="0.3">
      <c r="A11" s="15" t="s">
        <v>24</v>
      </c>
      <c r="B11" s="24" t="s">
        <v>85</v>
      </c>
      <c r="C11" s="16">
        <v>61948</v>
      </c>
      <c r="D11" s="16">
        <v>49171</v>
      </c>
      <c r="E11" s="13">
        <v>79.400000000000006</v>
      </c>
    </row>
    <row r="12" spans="1:5" ht="15" customHeight="1" x14ac:dyDescent="0.3">
      <c r="A12" s="10" t="s">
        <v>26</v>
      </c>
      <c r="B12" s="23" t="s">
        <v>81</v>
      </c>
      <c r="C12" s="11">
        <v>3603</v>
      </c>
      <c r="D12" s="11">
        <v>3287</v>
      </c>
      <c r="E12" s="13">
        <v>91.2</v>
      </c>
    </row>
    <row r="13" spans="1:5" ht="15" customHeight="1" x14ac:dyDescent="0.3">
      <c r="A13" s="15" t="s">
        <v>26</v>
      </c>
      <c r="B13" s="24" t="s">
        <v>82</v>
      </c>
      <c r="C13" s="16">
        <v>3603</v>
      </c>
      <c r="D13" s="16">
        <v>2402</v>
      </c>
      <c r="E13" s="13">
        <v>66.7</v>
      </c>
    </row>
    <row r="14" spans="1:5" ht="15" customHeight="1" x14ac:dyDescent="0.3">
      <c r="A14" s="10" t="s">
        <v>26</v>
      </c>
      <c r="B14" s="23" t="s">
        <v>83</v>
      </c>
      <c r="C14" s="11">
        <v>3603</v>
      </c>
      <c r="D14" s="11">
        <v>275</v>
      </c>
      <c r="E14" s="13">
        <v>7.6</v>
      </c>
    </row>
    <row r="15" spans="1:5" ht="15" customHeight="1" x14ac:dyDescent="0.3">
      <c r="A15" s="15" t="s">
        <v>26</v>
      </c>
      <c r="B15" s="24" t="s">
        <v>84</v>
      </c>
      <c r="C15" s="16">
        <v>3603</v>
      </c>
      <c r="D15" s="16">
        <v>2951</v>
      </c>
      <c r="E15" s="13">
        <v>81.900000000000006</v>
      </c>
    </row>
    <row r="16" spans="1:5" ht="15" customHeight="1" x14ac:dyDescent="0.3">
      <c r="A16" s="10" t="s">
        <v>26</v>
      </c>
      <c r="B16" s="23" t="s">
        <v>85</v>
      </c>
      <c r="C16" s="11">
        <v>3603</v>
      </c>
      <c r="D16" s="11">
        <v>2458</v>
      </c>
      <c r="E16" s="13">
        <v>68.2</v>
      </c>
    </row>
    <row r="17" spans="1:5" ht="15" customHeight="1" x14ac:dyDescent="0.3">
      <c r="A17" s="15" t="s">
        <v>28</v>
      </c>
      <c r="B17" s="24" t="s">
        <v>81</v>
      </c>
      <c r="C17" s="16">
        <v>60859</v>
      </c>
      <c r="D17" s="16">
        <v>53761</v>
      </c>
      <c r="E17" s="13">
        <v>88.3</v>
      </c>
    </row>
    <row r="18" spans="1:5" ht="15" customHeight="1" x14ac:dyDescent="0.3">
      <c r="A18" s="10" t="s">
        <v>28</v>
      </c>
      <c r="B18" s="23" t="s">
        <v>82</v>
      </c>
      <c r="C18" s="11">
        <v>60859</v>
      </c>
      <c r="D18" s="11">
        <v>46907</v>
      </c>
      <c r="E18" s="13">
        <v>77.099999999999994</v>
      </c>
    </row>
    <row r="19" spans="1:5" ht="15" customHeight="1" x14ac:dyDescent="0.3">
      <c r="A19" s="15" t="s">
        <v>28</v>
      </c>
      <c r="B19" s="24" t="s">
        <v>83</v>
      </c>
      <c r="C19" s="16">
        <v>60859</v>
      </c>
      <c r="D19" s="16">
        <v>2832</v>
      </c>
      <c r="E19" s="13">
        <v>4.7</v>
      </c>
    </row>
    <row r="20" spans="1:5" ht="15" customHeight="1" x14ac:dyDescent="0.3">
      <c r="A20" s="10" t="s">
        <v>28</v>
      </c>
      <c r="B20" s="23" t="s">
        <v>84</v>
      </c>
      <c r="C20" s="11">
        <v>60859</v>
      </c>
      <c r="D20" s="11">
        <v>57129</v>
      </c>
      <c r="E20" s="13">
        <v>93.9</v>
      </c>
    </row>
    <row r="21" spans="1:5" ht="15" customHeight="1" x14ac:dyDescent="0.3">
      <c r="A21" s="15" t="s">
        <v>28</v>
      </c>
      <c r="B21" s="24" t="s">
        <v>85</v>
      </c>
      <c r="C21" s="16">
        <v>60859</v>
      </c>
      <c r="D21" s="16">
        <v>47737</v>
      </c>
      <c r="E21" s="13">
        <v>78.400000000000006</v>
      </c>
    </row>
    <row r="22" spans="1:5" ht="15" customHeight="1" x14ac:dyDescent="0.3">
      <c r="A22" s="10" t="s">
        <v>30</v>
      </c>
      <c r="B22" s="23" t="s">
        <v>81</v>
      </c>
      <c r="C22" s="11">
        <v>93165</v>
      </c>
      <c r="D22" s="11">
        <v>91543</v>
      </c>
      <c r="E22" s="13">
        <v>98.3</v>
      </c>
    </row>
    <row r="23" spans="1:5" ht="15" customHeight="1" x14ac:dyDescent="0.3">
      <c r="A23" s="15" t="s">
        <v>30</v>
      </c>
      <c r="B23" s="24" t="s">
        <v>82</v>
      </c>
      <c r="C23" s="16">
        <v>93165</v>
      </c>
      <c r="D23" s="16">
        <v>82686</v>
      </c>
      <c r="E23" s="13">
        <v>88.8</v>
      </c>
    </row>
    <row r="24" spans="1:5" ht="15" customHeight="1" x14ac:dyDescent="0.3">
      <c r="A24" s="10" t="s">
        <v>30</v>
      </c>
      <c r="B24" s="23" t="s">
        <v>83</v>
      </c>
      <c r="C24" s="11">
        <v>93165</v>
      </c>
      <c r="D24" s="11">
        <v>1910</v>
      </c>
      <c r="E24" s="13">
        <v>2.1</v>
      </c>
    </row>
    <row r="25" spans="1:5" ht="15" customHeight="1" x14ac:dyDescent="0.3">
      <c r="A25" s="15" t="s">
        <v>30</v>
      </c>
      <c r="B25" s="24" t="s">
        <v>84</v>
      </c>
      <c r="C25" s="16">
        <v>93165</v>
      </c>
      <c r="D25" s="16">
        <v>92911</v>
      </c>
      <c r="E25" s="13">
        <v>99.7</v>
      </c>
    </row>
    <row r="26" spans="1:5" ht="15" customHeight="1" x14ac:dyDescent="0.3">
      <c r="A26" s="10" t="s">
        <v>30</v>
      </c>
      <c r="B26" s="23" t="s">
        <v>85</v>
      </c>
      <c r="C26" s="11">
        <v>93165</v>
      </c>
      <c r="D26" s="11">
        <v>46436</v>
      </c>
      <c r="E26" s="13">
        <v>49.8</v>
      </c>
    </row>
    <row r="27" spans="1:5" ht="15" customHeight="1" x14ac:dyDescent="0.3">
      <c r="A27" s="15" t="s">
        <v>31</v>
      </c>
      <c r="B27" s="24" t="s">
        <v>81</v>
      </c>
      <c r="C27" s="16">
        <v>233</v>
      </c>
      <c r="D27" s="16">
        <v>232</v>
      </c>
      <c r="E27" s="13">
        <v>99.6</v>
      </c>
    </row>
    <row r="28" spans="1:5" ht="15" customHeight="1" x14ac:dyDescent="0.3">
      <c r="A28" s="10" t="s">
        <v>31</v>
      </c>
      <c r="B28" s="23" t="s">
        <v>82</v>
      </c>
      <c r="C28" s="11">
        <v>233</v>
      </c>
      <c r="D28" s="11">
        <v>233</v>
      </c>
      <c r="E28" s="13">
        <v>100</v>
      </c>
    </row>
    <row r="29" spans="1:5" ht="15" customHeight="1" x14ac:dyDescent="0.3">
      <c r="A29" s="15" t="s">
        <v>31</v>
      </c>
      <c r="B29" s="24" t="s">
        <v>83</v>
      </c>
      <c r="C29" s="16">
        <v>233</v>
      </c>
      <c r="D29" s="16">
        <v>192</v>
      </c>
      <c r="E29" s="13">
        <v>82.4</v>
      </c>
    </row>
    <row r="30" spans="1:5" ht="15" customHeight="1" x14ac:dyDescent="0.3">
      <c r="A30" s="10" t="s">
        <v>31</v>
      </c>
      <c r="B30" s="23" t="s">
        <v>84</v>
      </c>
      <c r="C30" s="11">
        <v>233</v>
      </c>
      <c r="D30" s="11">
        <v>233</v>
      </c>
      <c r="E30" s="13">
        <v>100</v>
      </c>
    </row>
    <row r="31" spans="1:5" ht="15" customHeight="1" x14ac:dyDescent="0.3">
      <c r="A31" s="15" t="s">
        <v>31</v>
      </c>
      <c r="B31" s="24" t="s">
        <v>85</v>
      </c>
      <c r="C31" s="16">
        <v>233</v>
      </c>
      <c r="D31" s="16">
        <v>222</v>
      </c>
      <c r="E31" s="13">
        <v>95.3</v>
      </c>
    </row>
    <row r="32" spans="1:5" ht="15" customHeight="1" x14ac:dyDescent="0.3">
      <c r="A32" s="10" t="s">
        <v>33</v>
      </c>
      <c r="B32" s="23" t="s">
        <v>81</v>
      </c>
      <c r="C32" s="11">
        <v>56512</v>
      </c>
      <c r="D32" s="11">
        <v>55252</v>
      </c>
      <c r="E32" s="13">
        <v>97.8</v>
      </c>
    </row>
    <row r="33" spans="1:5" ht="15" customHeight="1" x14ac:dyDescent="0.3">
      <c r="A33" s="15" t="s">
        <v>33</v>
      </c>
      <c r="B33" s="24" t="s">
        <v>82</v>
      </c>
      <c r="C33" s="16">
        <v>56512</v>
      </c>
      <c r="D33" s="16">
        <v>54132</v>
      </c>
      <c r="E33" s="13">
        <v>95.8</v>
      </c>
    </row>
    <row r="34" spans="1:5" ht="15" customHeight="1" x14ac:dyDescent="0.3">
      <c r="A34" s="10" t="s">
        <v>33</v>
      </c>
      <c r="B34" s="23" t="s">
        <v>83</v>
      </c>
      <c r="C34" s="11">
        <v>56512</v>
      </c>
      <c r="D34" s="11">
        <v>3341</v>
      </c>
      <c r="E34" s="13">
        <v>5.9</v>
      </c>
    </row>
    <row r="35" spans="1:5" ht="15" customHeight="1" x14ac:dyDescent="0.3">
      <c r="A35" s="15" t="s">
        <v>33</v>
      </c>
      <c r="B35" s="24" t="s">
        <v>84</v>
      </c>
      <c r="C35" s="16">
        <v>56512</v>
      </c>
      <c r="D35" s="16">
        <v>56500</v>
      </c>
      <c r="E35" s="13">
        <v>100</v>
      </c>
    </row>
    <row r="36" spans="1:5" ht="15" customHeight="1" x14ac:dyDescent="0.3">
      <c r="A36" s="10" t="s">
        <v>33</v>
      </c>
      <c r="B36" s="23" t="s">
        <v>85</v>
      </c>
      <c r="C36" s="11">
        <v>56512</v>
      </c>
      <c r="D36" s="11">
        <v>44734</v>
      </c>
      <c r="E36" s="13">
        <v>79.2</v>
      </c>
    </row>
    <row r="37" spans="1:5" ht="15" customHeight="1" x14ac:dyDescent="0.3">
      <c r="A37" s="15" t="s">
        <v>35</v>
      </c>
      <c r="B37" s="24" t="s">
        <v>81</v>
      </c>
      <c r="C37" s="16">
        <v>460</v>
      </c>
      <c r="D37" s="16">
        <v>455</v>
      </c>
      <c r="E37" s="13">
        <v>98.9</v>
      </c>
    </row>
    <row r="38" spans="1:5" ht="15" customHeight="1" x14ac:dyDescent="0.3">
      <c r="A38" s="10" t="s">
        <v>35</v>
      </c>
      <c r="B38" s="23" t="s">
        <v>82</v>
      </c>
      <c r="C38" s="11">
        <v>460</v>
      </c>
      <c r="D38" s="11">
        <v>460</v>
      </c>
      <c r="E38" s="13">
        <v>100</v>
      </c>
    </row>
    <row r="39" spans="1:5" ht="15" customHeight="1" x14ac:dyDescent="0.3">
      <c r="A39" s="15" t="s">
        <v>35</v>
      </c>
      <c r="B39" s="24" t="s">
        <v>83</v>
      </c>
      <c r="C39" s="16">
        <v>460</v>
      </c>
      <c r="D39" s="16">
        <v>176</v>
      </c>
      <c r="E39" s="13">
        <v>38.299999999999997</v>
      </c>
    </row>
    <row r="40" spans="1:5" ht="15" customHeight="1" x14ac:dyDescent="0.3">
      <c r="A40" s="10" t="s">
        <v>35</v>
      </c>
      <c r="B40" s="23" t="s">
        <v>84</v>
      </c>
      <c r="C40" s="11">
        <v>460</v>
      </c>
      <c r="D40" s="11">
        <v>460</v>
      </c>
      <c r="E40" s="13">
        <v>100</v>
      </c>
    </row>
    <row r="41" spans="1:5" ht="15" customHeight="1" x14ac:dyDescent="0.3">
      <c r="A41" s="15" t="s">
        <v>35</v>
      </c>
      <c r="B41" s="24" t="s">
        <v>85</v>
      </c>
      <c r="C41" s="16">
        <v>460</v>
      </c>
      <c r="D41" s="16">
        <v>459</v>
      </c>
      <c r="E41" s="13">
        <v>99.8</v>
      </c>
    </row>
    <row r="42" spans="1:5" ht="15" customHeight="1" x14ac:dyDescent="0.3">
      <c r="A42" s="10" t="s">
        <v>37</v>
      </c>
      <c r="B42" s="23" t="s">
        <v>81</v>
      </c>
      <c r="C42" s="11">
        <v>460</v>
      </c>
      <c r="D42" s="11">
        <v>455</v>
      </c>
      <c r="E42" s="13">
        <v>98.9</v>
      </c>
    </row>
    <row r="43" spans="1:5" ht="15" customHeight="1" x14ac:dyDescent="0.3">
      <c r="A43" s="15" t="s">
        <v>37</v>
      </c>
      <c r="B43" s="24" t="s">
        <v>82</v>
      </c>
      <c r="C43" s="16">
        <v>460</v>
      </c>
      <c r="D43" s="16">
        <v>460</v>
      </c>
      <c r="E43" s="13">
        <v>100</v>
      </c>
    </row>
    <row r="44" spans="1:5" ht="15" customHeight="1" x14ac:dyDescent="0.3">
      <c r="A44" s="10" t="s">
        <v>37</v>
      </c>
      <c r="B44" s="23" t="s">
        <v>83</v>
      </c>
      <c r="C44" s="11">
        <v>460</v>
      </c>
      <c r="D44" s="11">
        <v>176</v>
      </c>
      <c r="E44" s="13">
        <v>38.299999999999997</v>
      </c>
    </row>
    <row r="45" spans="1:5" ht="15" customHeight="1" x14ac:dyDescent="0.3">
      <c r="A45" s="15" t="s">
        <v>37</v>
      </c>
      <c r="B45" s="24" t="s">
        <v>84</v>
      </c>
      <c r="C45" s="16">
        <v>460</v>
      </c>
      <c r="D45" s="16">
        <v>460</v>
      </c>
      <c r="E45" s="13">
        <v>100</v>
      </c>
    </row>
    <row r="46" spans="1:5" ht="15" customHeight="1" x14ac:dyDescent="0.3">
      <c r="A46" s="10" t="s">
        <v>37</v>
      </c>
      <c r="B46" s="23" t="s">
        <v>85</v>
      </c>
      <c r="C46" s="11">
        <v>460</v>
      </c>
      <c r="D46" s="11">
        <v>459</v>
      </c>
      <c r="E46" s="13">
        <v>99.8</v>
      </c>
    </row>
    <row r="47" spans="1:5" ht="15" customHeight="1" x14ac:dyDescent="0.3">
      <c r="A47" s="15" t="s">
        <v>38</v>
      </c>
      <c r="B47" s="24" t="s">
        <v>81</v>
      </c>
      <c r="C47" s="16">
        <v>5619</v>
      </c>
      <c r="D47" s="16">
        <v>4693</v>
      </c>
      <c r="E47" s="13">
        <v>83.5</v>
      </c>
    </row>
    <row r="48" spans="1:5" ht="15" customHeight="1" x14ac:dyDescent="0.3">
      <c r="A48" s="10" t="s">
        <v>38</v>
      </c>
      <c r="B48" s="23" t="s">
        <v>82</v>
      </c>
      <c r="C48" s="11">
        <v>5619</v>
      </c>
      <c r="D48" s="11">
        <v>5619</v>
      </c>
      <c r="E48" s="13">
        <v>100</v>
      </c>
    </row>
    <row r="49" spans="1:5" ht="15" customHeight="1" x14ac:dyDescent="0.3">
      <c r="A49" s="15" t="s">
        <v>38</v>
      </c>
      <c r="B49" s="24" t="s">
        <v>83</v>
      </c>
      <c r="C49" s="16">
        <v>5619</v>
      </c>
      <c r="D49" s="16">
        <v>2588</v>
      </c>
      <c r="E49" s="13">
        <v>46.1</v>
      </c>
    </row>
    <row r="50" spans="1:5" ht="15" customHeight="1" x14ac:dyDescent="0.3">
      <c r="A50" s="10" t="s">
        <v>38</v>
      </c>
      <c r="B50" s="23" t="s">
        <v>84</v>
      </c>
      <c r="C50" s="11">
        <v>5619</v>
      </c>
      <c r="D50" s="11">
        <v>5619</v>
      </c>
      <c r="E50" s="13">
        <v>100</v>
      </c>
    </row>
    <row r="51" spans="1:5" ht="15" customHeight="1" x14ac:dyDescent="0.3">
      <c r="A51" s="15" t="s">
        <v>38</v>
      </c>
      <c r="B51" s="24" t="s">
        <v>85</v>
      </c>
      <c r="C51" s="16">
        <v>5619</v>
      </c>
      <c r="D51" s="16">
        <v>5421</v>
      </c>
      <c r="E51" s="13">
        <v>96.5</v>
      </c>
    </row>
    <row r="52" spans="1:5" ht="15" customHeight="1" x14ac:dyDescent="0.3">
      <c r="A52" s="10" t="s">
        <v>39</v>
      </c>
      <c r="B52" s="23" t="s">
        <v>81</v>
      </c>
      <c r="C52" s="11">
        <v>1510</v>
      </c>
      <c r="D52" s="11">
        <v>1498</v>
      </c>
      <c r="E52" s="13">
        <v>99.2</v>
      </c>
    </row>
    <row r="53" spans="1:5" ht="15" customHeight="1" x14ac:dyDescent="0.3">
      <c r="A53" s="15" t="s">
        <v>39</v>
      </c>
      <c r="B53" s="24" t="s">
        <v>82</v>
      </c>
      <c r="C53" s="16">
        <v>1510</v>
      </c>
      <c r="D53" s="16">
        <v>1510</v>
      </c>
      <c r="E53" s="13">
        <v>100</v>
      </c>
    </row>
    <row r="54" spans="1:5" ht="15" customHeight="1" x14ac:dyDescent="0.3">
      <c r="A54" s="10" t="s">
        <v>39</v>
      </c>
      <c r="B54" s="23" t="s">
        <v>83</v>
      </c>
      <c r="C54" s="11">
        <v>1510</v>
      </c>
      <c r="D54" s="11">
        <v>452</v>
      </c>
      <c r="E54" s="13">
        <v>29.9</v>
      </c>
    </row>
    <row r="55" spans="1:5" ht="15" customHeight="1" x14ac:dyDescent="0.3">
      <c r="A55" s="15" t="s">
        <v>39</v>
      </c>
      <c r="B55" s="24" t="s">
        <v>84</v>
      </c>
      <c r="C55" s="16">
        <v>1510</v>
      </c>
      <c r="D55" s="16">
        <v>1510</v>
      </c>
      <c r="E55" s="13">
        <v>100</v>
      </c>
    </row>
    <row r="56" spans="1:5" ht="15" customHeight="1" x14ac:dyDescent="0.3">
      <c r="A56" s="10" t="s">
        <v>39</v>
      </c>
      <c r="B56" s="23" t="s">
        <v>85</v>
      </c>
      <c r="C56" s="11">
        <v>1510</v>
      </c>
      <c r="D56" s="11">
        <v>1350</v>
      </c>
      <c r="E56" s="13">
        <v>89.4</v>
      </c>
    </row>
    <row r="57" spans="1:5" ht="15" customHeight="1" x14ac:dyDescent="0.3">
      <c r="A57" s="15" t="s">
        <v>40</v>
      </c>
      <c r="B57" s="24" t="s">
        <v>81</v>
      </c>
      <c r="C57" s="16">
        <v>53851</v>
      </c>
      <c r="D57" s="16">
        <v>52334</v>
      </c>
      <c r="E57" s="13">
        <v>97.2</v>
      </c>
    </row>
    <row r="58" spans="1:5" ht="15" customHeight="1" x14ac:dyDescent="0.3">
      <c r="A58" s="10" t="s">
        <v>40</v>
      </c>
      <c r="B58" s="23" t="s">
        <v>82</v>
      </c>
      <c r="C58" s="11">
        <v>53851</v>
      </c>
      <c r="D58" s="11">
        <v>53829</v>
      </c>
      <c r="E58" s="13">
        <v>100</v>
      </c>
    </row>
    <row r="59" spans="1:5" ht="15" customHeight="1" x14ac:dyDescent="0.3">
      <c r="A59" s="15" t="s">
        <v>40</v>
      </c>
      <c r="B59" s="24" t="s">
        <v>83</v>
      </c>
      <c r="C59" s="16">
        <v>53851</v>
      </c>
      <c r="D59" s="16">
        <v>11176</v>
      </c>
      <c r="E59" s="13">
        <v>20.8</v>
      </c>
    </row>
    <row r="60" spans="1:5" ht="15" customHeight="1" x14ac:dyDescent="0.3">
      <c r="A60" s="10" t="s">
        <v>40</v>
      </c>
      <c r="B60" s="23" t="s">
        <v>84</v>
      </c>
      <c r="C60" s="11">
        <v>53851</v>
      </c>
      <c r="D60" s="11">
        <v>53836</v>
      </c>
      <c r="E60" s="13">
        <v>100</v>
      </c>
    </row>
    <row r="61" spans="1:5" ht="15" customHeight="1" x14ac:dyDescent="0.3">
      <c r="A61" s="15" t="s">
        <v>40</v>
      </c>
      <c r="B61" s="24" t="s">
        <v>85</v>
      </c>
      <c r="C61" s="16">
        <v>53851</v>
      </c>
      <c r="D61" s="16">
        <v>47519</v>
      </c>
      <c r="E61" s="13">
        <v>88.2</v>
      </c>
    </row>
    <row r="62" spans="1:5" ht="15" customHeight="1" x14ac:dyDescent="0.3">
      <c r="A62" s="10" t="s">
        <v>41</v>
      </c>
      <c r="B62" s="23" t="s">
        <v>81</v>
      </c>
      <c r="C62" s="11">
        <v>23726</v>
      </c>
      <c r="D62" s="11">
        <v>22779</v>
      </c>
      <c r="E62" s="13">
        <v>96</v>
      </c>
    </row>
    <row r="63" spans="1:5" ht="15" customHeight="1" x14ac:dyDescent="0.3">
      <c r="A63" s="15" t="s">
        <v>41</v>
      </c>
      <c r="B63" s="24" t="s">
        <v>82</v>
      </c>
      <c r="C63" s="16">
        <v>23726</v>
      </c>
      <c r="D63" s="16">
        <v>23522</v>
      </c>
      <c r="E63" s="13">
        <v>99.1</v>
      </c>
    </row>
    <row r="64" spans="1:5" ht="15" customHeight="1" x14ac:dyDescent="0.3">
      <c r="A64" s="10" t="s">
        <v>41</v>
      </c>
      <c r="B64" s="23" t="s">
        <v>83</v>
      </c>
      <c r="C64" s="11">
        <v>23726</v>
      </c>
      <c r="D64" s="11">
        <v>6790</v>
      </c>
      <c r="E64" s="13">
        <v>28.6</v>
      </c>
    </row>
    <row r="65" spans="1:5" ht="15" customHeight="1" x14ac:dyDescent="0.3">
      <c r="A65" s="15" t="s">
        <v>41</v>
      </c>
      <c r="B65" s="24" t="s">
        <v>84</v>
      </c>
      <c r="C65" s="16">
        <v>23726</v>
      </c>
      <c r="D65" s="16">
        <v>23670</v>
      </c>
      <c r="E65" s="13">
        <v>99.8</v>
      </c>
    </row>
    <row r="66" spans="1:5" ht="15" customHeight="1" x14ac:dyDescent="0.3">
      <c r="A66" s="10" t="s">
        <v>41</v>
      </c>
      <c r="B66" s="23" t="s">
        <v>85</v>
      </c>
      <c r="C66" s="11">
        <v>23726</v>
      </c>
      <c r="D66" s="11">
        <v>21319</v>
      </c>
      <c r="E66" s="13">
        <v>89.9</v>
      </c>
    </row>
    <row r="67" spans="1:5" ht="15" customHeight="1" x14ac:dyDescent="0.3">
      <c r="A67" s="15" t="s">
        <v>42</v>
      </c>
      <c r="B67" s="24" t="s">
        <v>81</v>
      </c>
      <c r="C67" s="16">
        <v>18028</v>
      </c>
      <c r="D67" s="16">
        <v>17842</v>
      </c>
      <c r="E67" s="13">
        <v>99</v>
      </c>
    </row>
    <row r="68" spans="1:5" ht="15" customHeight="1" x14ac:dyDescent="0.3">
      <c r="A68" s="10" t="s">
        <v>42</v>
      </c>
      <c r="B68" s="23" t="s">
        <v>82</v>
      </c>
      <c r="C68" s="11">
        <v>18028</v>
      </c>
      <c r="D68" s="11">
        <v>17785</v>
      </c>
      <c r="E68" s="13">
        <v>98.7</v>
      </c>
    </row>
    <row r="69" spans="1:5" ht="15" customHeight="1" x14ac:dyDescent="0.3">
      <c r="A69" s="15" t="s">
        <v>42</v>
      </c>
      <c r="B69" s="24" t="s">
        <v>83</v>
      </c>
      <c r="C69" s="16">
        <v>18028</v>
      </c>
      <c r="D69" s="16">
        <v>2690</v>
      </c>
      <c r="E69" s="13">
        <v>14.9</v>
      </c>
    </row>
    <row r="70" spans="1:5" ht="15" customHeight="1" x14ac:dyDescent="0.3">
      <c r="A70" s="10" t="s">
        <v>42</v>
      </c>
      <c r="B70" s="23" t="s">
        <v>84</v>
      </c>
      <c r="C70" s="11">
        <v>18028</v>
      </c>
      <c r="D70" s="11">
        <v>18024</v>
      </c>
      <c r="E70" s="13">
        <v>100</v>
      </c>
    </row>
    <row r="71" spans="1:5" ht="15" customHeight="1" x14ac:dyDescent="0.3">
      <c r="A71" s="15" t="s">
        <v>42</v>
      </c>
      <c r="B71" s="24" t="s">
        <v>85</v>
      </c>
      <c r="C71" s="16">
        <v>18028</v>
      </c>
      <c r="D71" s="16">
        <v>15656</v>
      </c>
      <c r="E71" s="13">
        <v>86.8</v>
      </c>
    </row>
    <row r="72" spans="1:5" ht="15" customHeight="1" x14ac:dyDescent="0.3">
      <c r="A72" s="10" t="s">
        <v>43</v>
      </c>
      <c r="B72" s="23" t="s">
        <v>81</v>
      </c>
      <c r="C72" s="11">
        <v>28805</v>
      </c>
      <c r="D72" s="11">
        <v>25507</v>
      </c>
      <c r="E72" s="13">
        <v>88.6</v>
      </c>
    </row>
    <row r="73" spans="1:5" ht="15" customHeight="1" x14ac:dyDescent="0.3">
      <c r="A73" s="15" t="s">
        <v>43</v>
      </c>
      <c r="B73" s="24" t="s">
        <v>82</v>
      </c>
      <c r="C73" s="16">
        <v>28805</v>
      </c>
      <c r="D73" s="16">
        <v>22054</v>
      </c>
      <c r="E73" s="13">
        <v>76.599999999999994</v>
      </c>
    </row>
    <row r="74" spans="1:5" ht="15" customHeight="1" x14ac:dyDescent="0.3">
      <c r="A74" s="10" t="s">
        <v>43</v>
      </c>
      <c r="B74" s="23" t="s">
        <v>83</v>
      </c>
      <c r="C74" s="11">
        <v>28805</v>
      </c>
      <c r="D74" s="11">
        <v>2841</v>
      </c>
      <c r="E74" s="13">
        <v>9.9</v>
      </c>
    </row>
    <row r="75" spans="1:5" ht="15" customHeight="1" x14ac:dyDescent="0.3">
      <c r="A75" s="15" t="s">
        <v>43</v>
      </c>
      <c r="B75" s="24" t="s">
        <v>84</v>
      </c>
      <c r="C75" s="16">
        <v>28805</v>
      </c>
      <c r="D75" s="16">
        <v>28045</v>
      </c>
      <c r="E75" s="13">
        <v>97.4</v>
      </c>
    </row>
    <row r="76" spans="1:5" ht="15" customHeight="1" x14ac:dyDescent="0.3">
      <c r="A76" s="10" t="s">
        <v>43</v>
      </c>
      <c r="B76" s="23" t="s">
        <v>85</v>
      </c>
      <c r="C76" s="11">
        <v>28805</v>
      </c>
      <c r="D76" s="11">
        <v>17806</v>
      </c>
      <c r="E76" s="13">
        <v>61.8</v>
      </c>
    </row>
    <row r="77" spans="1:5" ht="15" customHeight="1" x14ac:dyDescent="0.3">
      <c r="A77" s="15" t="s">
        <v>44</v>
      </c>
      <c r="B77" s="24" t="s">
        <v>81</v>
      </c>
      <c r="C77" s="16">
        <v>44855</v>
      </c>
      <c r="D77" s="16">
        <v>44124</v>
      </c>
      <c r="E77" s="13">
        <v>98.4</v>
      </c>
    </row>
    <row r="78" spans="1:5" ht="15" customHeight="1" x14ac:dyDescent="0.3">
      <c r="A78" s="10" t="s">
        <v>44</v>
      </c>
      <c r="B78" s="23" t="s">
        <v>82</v>
      </c>
      <c r="C78" s="11">
        <v>44855</v>
      </c>
      <c r="D78" s="11">
        <v>42723</v>
      </c>
      <c r="E78" s="13">
        <v>95.2</v>
      </c>
    </row>
    <row r="79" spans="1:5" ht="15" customHeight="1" x14ac:dyDescent="0.3">
      <c r="A79" s="15" t="s">
        <v>44</v>
      </c>
      <c r="B79" s="24" t="s">
        <v>83</v>
      </c>
      <c r="C79" s="16">
        <v>44855</v>
      </c>
      <c r="D79" s="16">
        <v>2762</v>
      </c>
      <c r="E79" s="13">
        <v>6.2</v>
      </c>
    </row>
    <row r="80" spans="1:5" ht="15" customHeight="1" x14ac:dyDescent="0.3">
      <c r="A80" s="10" t="s">
        <v>44</v>
      </c>
      <c r="B80" s="23" t="s">
        <v>84</v>
      </c>
      <c r="C80" s="11">
        <v>44855</v>
      </c>
      <c r="D80" s="11">
        <v>44082</v>
      </c>
      <c r="E80" s="13">
        <v>98.3</v>
      </c>
    </row>
    <row r="81" spans="1:5" ht="15" customHeight="1" x14ac:dyDescent="0.3">
      <c r="A81" s="15" t="s">
        <v>44</v>
      </c>
      <c r="B81" s="24" t="s">
        <v>85</v>
      </c>
      <c r="C81" s="16">
        <v>44855</v>
      </c>
      <c r="D81" s="16">
        <v>31915</v>
      </c>
      <c r="E81" s="13">
        <v>71.2</v>
      </c>
    </row>
    <row r="82" spans="1:5" ht="15" customHeight="1" x14ac:dyDescent="0.3">
      <c r="A82" s="10" t="s">
        <v>45</v>
      </c>
      <c r="B82" s="23" t="s">
        <v>81</v>
      </c>
      <c r="C82" s="11">
        <v>76450</v>
      </c>
      <c r="D82" s="11">
        <v>74918</v>
      </c>
      <c r="E82" s="13">
        <v>98</v>
      </c>
    </row>
    <row r="83" spans="1:5" ht="15" customHeight="1" x14ac:dyDescent="0.3">
      <c r="A83" s="15" t="s">
        <v>45</v>
      </c>
      <c r="B83" s="24" t="s">
        <v>82</v>
      </c>
      <c r="C83" s="16">
        <v>76450</v>
      </c>
      <c r="D83" s="16">
        <v>75736</v>
      </c>
      <c r="E83" s="13">
        <v>99.1</v>
      </c>
    </row>
    <row r="84" spans="1:5" ht="15" customHeight="1" x14ac:dyDescent="0.3">
      <c r="A84" s="10" t="s">
        <v>45</v>
      </c>
      <c r="B84" s="23" t="s">
        <v>83</v>
      </c>
      <c r="C84" s="11">
        <v>76450</v>
      </c>
      <c r="D84" s="11">
        <v>8811</v>
      </c>
      <c r="E84" s="13">
        <v>11.5</v>
      </c>
    </row>
    <row r="85" spans="1:5" ht="15" customHeight="1" x14ac:dyDescent="0.3">
      <c r="A85" s="15" t="s">
        <v>45</v>
      </c>
      <c r="B85" s="24" t="s">
        <v>84</v>
      </c>
      <c r="C85" s="16">
        <v>76450</v>
      </c>
      <c r="D85" s="16">
        <v>76230</v>
      </c>
      <c r="E85" s="13">
        <v>99.7</v>
      </c>
    </row>
    <row r="86" spans="1:5" ht="15" customHeight="1" x14ac:dyDescent="0.3">
      <c r="A86" s="10" t="s">
        <v>45</v>
      </c>
      <c r="B86" s="23" t="s">
        <v>85</v>
      </c>
      <c r="C86" s="11">
        <v>76450</v>
      </c>
      <c r="D86" s="11">
        <v>62138</v>
      </c>
      <c r="E86" s="13">
        <v>81.3</v>
      </c>
    </row>
    <row r="87" spans="1:5" ht="15" customHeight="1" x14ac:dyDescent="0.3">
      <c r="A87" s="15" t="s">
        <v>46</v>
      </c>
      <c r="B87" s="24" t="s">
        <v>81</v>
      </c>
      <c r="C87" s="16">
        <v>16240</v>
      </c>
      <c r="D87" s="16">
        <v>16111</v>
      </c>
      <c r="E87" s="13">
        <v>99.2</v>
      </c>
    </row>
    <row r="88" spans="1:5" ht="15" customHeight="1" x14ac:dyDescent="0.3">
      <c r="A88" s="10" t="s">
        <v>46</v>
      </c>
      <c r="B88" s="23" t="s">
        <v>82</v>
      </c>
      <c r="C88" s="11">
        <v>16240</v>
      </c>
      <c r="D88" s="11">
        <v>16170</v>
      </c>
      <c r="E88" s="13">
        <v>99.6</v>
      </c>
    </row>
    <row r="89" spans="1:5" ht="15" customHeight="1" x14ac:dyDescent="0.3">
      <c r="A89" s="15" t="s">
        <v>46</v>
      </c>
      <c r="B89" s="24" t="s">
        <v>83</v>
      </c>
      <c r="C89" s="16">
        <v>16240</v>
      </c>
      <c r="D89" s="16">
        <v>13578</v>
      </c>
      <c r="E89" s="13">
        <v>83.6</v>
      </c>
    </row>
    <row r="90" spans="1:5" ht="15" customHeight="1" x14ac:dyDescent="0.3">
      <c r="A90" s="10" t="s">
        <v>46</v>
      </c>
      <c r="B90" s="23" t="s">
        <v>84</v>
      </c>
      <c r="C90" s="11">
        <v>16240</v>
      </c>
      <c r="D90" s="11">
        <v>16218</v>
      </c>
      <c r="E90" s="13">
        <v>99.9</v>
      </c>
    </row>
    <row r="91" spans="1:5" ht="15" customHeight="1" x14ac:dyDescent="0.3">
      <c r="A91" s="15" t="s">
        <v>46</v>
      </c>
      <c r="B91" s="24" t="s">
        <v>85</v>
      </c>
      <c r="C91" s="16">
        <v>16240</v>
      </c>
      <c r="D91" s="16">
        <v>14289</v>
      </c>
      <c r="E91" s="13">
        <v>88</v>
      </c>
    </row>
    <row r="92" spans="1:5" ht="15" customHeight="1" x14ac:dyDescent="0.3">
      <c r="A92" s="10" t="s">
        <v>47</v>
      </c>
      <c r="B92" s="23" t="s">
        <v>81</v>
      </c>
      <c r="C92" s="11">
        <v>978</v>
      </c>
      <c r="D92" s="11">
        <v>891</v>
      </c>
      <c r="E92" s="13">
        <v>91.1</v>
      </c>
    </row>
    <row r="93" spans="1:5" ht="15" customHeight="1" x14ac:dyDescent="0.3">
      <c r="A93" s="15" t="s">
        <v>47</v>
      </c>
      <c r="B93" s="24" t="s">
        <v>82</v>
      </c>
      <c r="C93" s="16">
        <v>978</v>
      </c>
      <c r="D93" s="16">
        <v>913</v>
      </c>
      <c r="E93" s="13">
        <v>93.4</v>
      </c>
    </row>
    <row r="94" spans="1:5" ht="15" customHeight="1" x14ac:dyDescent="0.3">
      <c r="A94" s="10" t="s">
        <v>47</v>
      </c>
      <c r="B94" s="23" t="s">
        <v>83</v>
      </c>
      <c r="C94" s="11">
        <v>978</v>
      </c>
      <c r="D94" s="11">
        <v>159</v>
      </c>
      <c r="E94" s="13">
        <v>16.3</v>
      </c>
    </row>
    <row r="95" spans="1:5" ht="15" customHeight="1" x14ac:dyDescent="0.3">
      <c r="A95" s="15" t="s">
        <v>47</v>
      </c>
      <c r="B95" s="24" t="s">
        <v>84</v>
      </c>
      <c r="C95" s="16">
        <v>978</v>
      </c>
      <c r="D95" s="16">
        <v>973</v>
      </c>
      <c r="E95" s="13">
        <v>99.5</v>
      </c>
    </row>
    <row r="96" spans="1:5" ht="15" customHeight="1" x14ac:dyDescent="0.3">
      <c r="A96" s="10" t="s">
        <v>47</v>
      </c>
      <c r="B96" s="23" t="s">
        <v>85</v>
      </c>
      <c r="C96" s="11">
        <v>978</v>
      </c>
      <c r="D96" s="11">
        <v>748</v>
      </c>
      <c r="E96" s="13">
        <v>76.5</v>
      </c>
    </row>
    <row r="97" spans="1:5" ht="15" customHeight="1" x14ac:dyDescent="0.3">
      <c r="A97" s="15" t="s">
        <v>48</v>
      </c>
      <c r="B97" s="24" t="s">
        <v>81</v>
      </c>
      <c r="C97" s="16">
        <v>38</v>
      </c>
      <c r="D97" s="16">
        <v>38</v>
      </c>
      <c r="E97" s="13">
        <v>100</v>
      </c>
    </row>
    <row r="98" spans="1:5" ht="15" customHeight="1" x14ac:dyDescent="0.3">
      <c r="A98" s="10" t="s">
        <v>48</v>
      </c>
      <c r="B98" s="23" t="s">
        <v>82</v>
      </c>
      <c r="C98" s="11">
        <v>38</v>
      </c>
      <c r="D98" s="11">
        <v>38</v>
      </c>
      <c r="E98" s="13">
        <v>100</v>
      </c>
    </row>
    <row r="99" spans="1:5" ht="15" customHeight="1" x14ac:dyDescent="0.3">
      <c r="A99" s="15" t="s">
        <v>48</v>
      </c>
      <c r="B99" s="24" t="s">
        <v>83</v>
      </c>
      <c r="C99" s="16">
        <v>38</v>
      </c>
      <c r="D99" s="16">
        <v>30</v>
      </c>
      <c r="E99" s="13">
        <v>78.900000000000006</v>
      </c>
    </row>
    <row r="100" spans="1:5" ht="15" customHeight="1" x14ac:dyDescent="0.3">
      <c r="A100" s="10" t="s">
        <v>48</v>
      </c>
      <c r="B100" s="23" t="s">
        <v>84</v>
      </c>
      <c r="C100" s="11">
        <v>38</v>
      </c>
      <c r="D100" s="11">
        <v>38</v>
      </c>
      <c r="E100" s="13">
        <v>100</v>
      </c>
    </row>
    <row r="101" spans="1:5" ht="15" customHeight="1" x14ac:dyDescent="0.3">
      <c r="A101" s="15" t="s">
        <v>48</v>
      </c>
      <c r="B101" s="24" t="s">
        <v>85</v>
      </c>
      <c r="C101" s="16">
        <v>38</v>
      </c>
      <c r="D101" s="16">
        <v>37</v>
      </c>
      <c r="E101" s="13">
        <v>97.4</v>
      </c>
    </row>
    <row r="102" spans="1:5" ht="15" customHeight="1" x14ac:dyDescent="0.3">
      <c r="A102" s="10" t="s">
        <v>49</v>
      </c>
      <c r="B102" s="23" t="s">
        <v>81</v>
      </c>
      <c r="C102" s="11">
        <v>125582</v>
      </c>
      <c r="D102" s="11">
        <v>122338</v>
      </c>
      <c r="E102" s="13">
        <v>97.4</v>
      </c>
    </row>
    <row r="103" spans="1:5" ht="15" customHeight="1" x14ac:dyDescent="0.3">
      <c r="A103" s="15" t="s">
        <v>49</v>
      </c>
      <c r="B103" s="24" t="s">
        <v>82</v>
      </c>
      <c r="C103" s="16">
        <v>125582</v>
      </c>
      <c r="D103" s="16">
        <v>96841</v>
      </c>
      <c r="E103" s="13">
        <v>77.099999999999994</v>
      </c>
    </row>
    <row r="104" spans="1:5" ht="15" customHeight="1" x14ac:dyDescent="0.3">
      <c r="A104" s="10" t="s">
        <v>49</v>
      </c>
      <c r="B104" s="23" t="s">
        <v>83</v>
      </c>
      <c r="C104" s="11">
        <v>125582</v>
      </c>
      <c r="D104" s="11">
        <v>3441</v>
      </c>
      <c r="E104" s="13">
        <v>2.7</v>
      </c>
    </row>
    <row r="105" spans="1:5" ht="15" customHeight="1" x14ac:dyDescent="0.3">
      <c r="A105" s="15" t="s">
        <v>49</v>
      </c>
      <c r="B105" s="24" t="s">
        <v>84</v>
      </c>
      <c r="C105" s="16">
        <v>125582</v>
      </c>
      <c r="D105" s="16">
        <v>123599</v>
      </c>
      <c r="E105" s="13">
        <v>98.4</v>
      </c>
    </row>
    <row r="106" spans="1:5" ht="15" customHeight="1" x14ac:dyDescent="0.3">
      <c r="A106" s="10" t="s">
        <v>49</v>
      </c>
      <c r="B106" s="23" t="s">
        <v>85</v>
      </c>
      <c r="C106" s="11">
        <v>125582</v>
      </c>
      <c r="D106" s="11">
        <v>101108</v>
      </c>
      <c r="E106" s="13">
        <v>80.5</v>
      </c>
    </row>
    <row r="107" spans="1:5" ht="15" customHeight="1" x14ac:dyDescent="0.3">
      <c r="A107" s="15" t="s">
        <v>50</v>
      </c>
      <c r="B107" s="24" t="s">
        <v>81</v>
      </c>
      <c r="C107" s="16">
        <v>109605</v>
      </c>
      <c r="D107" s="16">
        <v>106175</v>
      </c>
      <c r="E107" s="13">
        <v>96.9</v>
      </c>
    </row>
    <row r="108" spans="1:5" ht="15" customHeight="1" x14ac:dyDescent="0.3">
      <c r="A108" s="10" t="s">
        <v>50</v>
      </c>
      <c r="B108" s="23" t="s">
        <v>82</v>
      </c>
      <c r="C108" s="11">
        <v>109605</v>
      </c>
      <c r="D108" s="11">
        <v>104094</v>
      </c>
      <c r="E108" s="13">
        <v>95</v>
      </c>
    </row>
    <row r="109" spans="1:5" ht="15" customHeight="1" x14ac:dyDescent="0.3">
      <c r="A109" s="15" t="s">
        <v>50</v>
      </c>
      <c r="B109" s="24" t="s">
        <v>83</v>
      </c>
      <c r="C109" s="16">
        <v>109605</v>
      </c>
      <c r="D109" s="16">
        <v>27327</v>
      </c>
      <c r="E109" s="13">
        <v>24.9</v>
      </c>
    </row>
    <row r="110" spans="1:5" ht="15" customHeight="1" x14ac:dyDescent="0.3">
      <c r="A110" s="10" t="s">
        <v>50</v>
      </c>
      <c r="B110" s="23" t="s">
        <v>84</v>
      </c>
      <c r="C110" s="11">
        <v>109605</v>
      </c>
      <c r="D110" s="11">
        <v>109026</v>
      </c>
      <c r="E110" s="13">
        <v>99.5</v>
      </c>
    </row>
    <row r="111" spans="1:5" ht="15" customHeight="1" x14ac:dyDescent="0.3">
      <c r="A111" s="15" t="s">
        <v>50</v>
      </c>
      <c r="B111" s="24" t="s">
        <v>85</v>
      </c>
      <c r="C111" s="16">
        <v>109605</v>
      </c>
      <c r="D111" s="16">
        <v>102006</v>
      </c>
      <c r="E111" s="13">
        <v>93.1</v>
      </c>
    </row>
    <row r="112" spans="1:5" ht="15" customHeight="1" x14ac:dyDescent="0.3">
      <c r="A112" s="10" t="s">
        <v>51</v>
      </c>
      <c r="B112" s="23" t="s">
        <v>81</v>
      </c>
      <c r="C112" s="11">
        <v>4617</v>
      </c>
      <c r="D112" s="11">
        <v>4012</v>
      </c>
      <c r="E112" s="13">
        <v>86.9</v>
      </c>
    </row>
    <row r="113" spans="1:5" ht="15" customHeight="1" x14ac:dyDescent="0.3">
      <c r="A113" s="15" t="s">
        <v>51</v>
      </c>
      <c r="B113" s="24" t="s">
        <v>82</v>
      </c>
      <c r="C113" s="16">
        <v>4617</v>
      </c>
      <c r="D113" s="16">
        <v>3071</v>
      </c>
      <c r="E113" s="13">
        <v>66.5</v>
      </c>
    </row>
    <row r="114" spans="1:5" ht="15" customHeight="1" x14ac:dyDescent="0.3">
      <c r="A114" s="10" t="s">
        <v>51</v>
      </c>
      <c r="B114" s="23" t="s">
        <v>83</v>
      </c>
      <c r="C114" s="11">
        <v>4617</v>
      </c>
      <c r="D114" s="11">
        <v>203</v>
      </c>
      <c r="E114" s="13">
        <v>4.4000000000000004</v>
      </c>
    </row>
    <row r="115" spans="1:5" ht="15" customHeight="1" x14ac:dyDescent="0.3">
      <c r="A115" s="15" t="s">
        <v>51</v>
      </c>
      <c r="B115" s="24" t="s">
        <v>84</v>
      </c>
      <c r="C115" s="16">
        <v>4617</v>
      </c>
      <c r="D115" s="16">
        <v>4564</v>
      </c>
      <c r="E115" s="13">
        <v>98.9</v>
      </c>
    </row>
    <row r="116" spans="1:5" ht="15" customHeight="1" x14ac:dyDescent="0.3">
      <c r="A116" s="10" t="s">
        <v>51</v>
      </c>
      <c r="B116" s="23" t="s">
        <v>85</v>
      </c>
      <c r="C116" s="11">
        <v>4617</v>
      </c>
      <c r="D116" s="11">
        <v>4012</v>
      </c>
      <c r="E116" s="13">
        <v>86.9</v>
      </c>
    </row>
    <row r="117" spans="1:5" ht="15" customHeight="1" x14ac:dyDescent="0.3">
      <c r="A117" s="15" t="s">
        <v>52</v>
      </c>
      <c r="B117" s="24" t="s">
        <v>81</v>
      </c>
      <c r="C117" s="16">
        <v>14600</v>
      </c>
      <c r="D117" s="16">
        <v>11928</v>
      </c>
      <c r="E117" s="13">
        <v>81.7</v>
      </c>
    </row>
    <row r="118" spans="1:5" ht="15" customHeight="1" x14ac:dyDescent="0.3">
      <c r="A118" s="10" t="s">
        <v>52</v>
      </c>
      <c r="B118" s="23" t="s">
        <v>82</v>
      </c>
      <c r="C118" s="11">
        <v>14600</v>
      </c>
      <c r="D118" s="11">
        <v>3873</v>
      </c>
      <c r="E118" s="13">
        <v>26.5</v>
      </c>
    </row>
    <row r="119" spans="1:5" ht="15" customHeight="1" x14ac:dyDescent="0.3">
      <c r="A119" s="15" t="s">
        <v>52</v>
      </c>
      <c r="B119" s="24" t="s">
        <v>83</v>
      </c>
      <c r="C119" s="16">
        <v>14600</v>
      </c>
      <c r="D119" s="16">
        <v>289</v>
      </c>
      <c r="E119" s="13">
        <v>2</v>
      </c>
    </row>
    <row r="120" spans="1:5" ht="15" customHeight="1" x14ac:dyDescent="0.3">
      <c r="A120" s="10" t="s">
        <v>52</v>
      </c>
      <c r="B120" s="23" t="s">
        <v>84</v>
      </c>
      <c r="C120" s="11">
        <v>14600</v>
      </c>
      <c r="D120" s="11">
        <v>7743</v>
      </c>
      <c r="E120" s="13">
        <v>53</v>
      </c>
    </row>
    <row r="121" spans="1:5" ht="15" customHeight="1" x14ac:dyDescent="0.3">
      <c r="A121" s="15" t="s">
        <v>52</v>
      </c>
      <c r="B121" s="24" t="s">
        <v>85</v>
      </c>
      <c r="C121" s="16">
        <v>14600</v>
      </c>
      <c r="D121" s="16">
        <v>6376</v>
      </c>
      <c r="E121" s="13">
        <v>43.7</v>
      </c>
    </row>
    <row r="122" spans="1:5" ht="15" customHeight="1" x14ac:dyDescent="0.3">
      <c r="A122" s="10" t="s">
        <v>53</v>
      </c>
      <c r="B122" s="23" t="s">
        <v>81</v>
      </c>
      <c r="C122" s="11">
        <v>3911</v>
      </c>
      <c r="D122" s="11">
        <v>3636</v>
      </c>
      <c r="E122" s="13">
        <v>93</v>
      </c>
    </row>
    <row r="123" spans="1:5" ht="15" customHeight="1" x14ac:dyDescent="0.3">
      <c r="A123" s="15" t="s">
        <v>53</v>
      </c>
      <c r="B123" s="24" t="s">
        <v>82</v>
      </c>
      <c r="C123" s="16">
        <v>3911</v>
      </c>
      <c r="D123" s="16">
        <v>3297</v>
      </c>
      <c r="E123" s="13">
        <v>84.3</v>
      </c>
    </row>
    <row r="124" spans="1:5" ht="15" customHeight="1" x14ac:dyDescent="0.3">
      <c r="A124" s="10" t="s">
        <v>53</v>
      </c>
      <c r="B124" s="23" t="s">
        <v>83</v>
      </c>
      <c r="C124" s="11">
        <v>3911</v>
      </c>
      <c r="D124" s="11">
        <v>59</v>
      </c>
      <c r="E124" s="13">
        <v>1.5</v>
      </c>
    </row>
    <row r="125" spans="1:5" ht="15" customHeight="1" x14ac:dyDescent="0.3">
      <c r="A125" s="15" t="s">
        <v>53</v>
      </c>
      <c r="B125" s="24" t="s">
        <v>84</v>
      </c>
      <c r="C125" s="16">
        <v>3911</v>
      </c>
      <c r="D125" s="16">
        <v>3587</v>
      </c>
      <c r="E125" s="13">
        <v>91.7</v>
      </c>
    </row>
    <row r="126" spans="1:5" ht="15" customHeight="1" x14ac:dyDescent="0.3">
      <c r="A126" s="10" t="s">
        <v>53</v>
      </c>
      <c r="B126" s="23" t="s">
        <v>85</v>
      </c>
      <c r="C126" s="11">
        <v>3911</v>
      </c>
      <c r="D126" s="11">
        <v>3144</v>
      </c>
      <c r="E126" s="13">
        <v>80.400000000000006</v>
      </c>
    </row>
    <row r="127" spans="1:5" ht="15" customHeight="1" x14ac:dyDescent="0.3">
      <c r="A127" s="15" t="s">
        <v>54</v>
      </c>
      <c r="B127" s="24" t="s">
        <v>81</v>
      </c>
      <c r="C127" s="16">
        <v>2718</v>
      </c>
      <c r="D127" s="16">
        <v>2463</v>
      </c>
      <c r="E127" s="13">
        <v>90.6</v>
      </c>
    </row>
    <row r="128" spans="1:5" ht="15" customHeight="1" x14ac:dyDescent="0.3">
      <c r="A128" s="10" t="s">
        <v>54</v>
      </c>
      <c r="B128" s="23" t="s">
        <v>82</v>
      </c>
      <c r="C128" s="11">
        <v>2718</v>
      </c>
      <c r="D128" s="11">
        <v>2074</v>
      </c>
      <c r="E128" s="13">
        <v>76.3</v>
      </c>
    </row>
    <row r="129" spans="1:5" ht="15" customHeight="1" x14ac:dyDescent="0.3">
      <c r="A129" s="15" t="s">
        <v>54</v>
      </c>
      <c r="B129" s="24" t="s">
        <v>83</v>
      </c>
      <c r="C129" s="16">
        <v>2718</v>
      </c>
      <c r="D129" s="16">
        <v>309</v>
      </c>
      <c r="E129" s="13">
        <v>11.4</v>
      </c>
    </row>
    <row r="130" spans="1:5" ht="15" customHeight="1" x14ac:dyDescent="0.3">
      <c r="A130" s="10" t="s">
        <v>54</v>
      </c>
      <c r="B130" s="23" t="s">
        <v>84</v>
      </c>
      <c r="C130" s="11">
        <v>2718</v>
      </c>
      <c r="D130" s="11">
        <v>1796</v>
      </c>
      <c r="E130" s="13">
        <v>66.099999999999994</v>
      </c>
    </row>
    <row r="131" spans="1:5" ht="15" customHeight="1" x14ac:dyDescent="0.3">
      <c r="A131" s="15" t="s">
        <v>54</v>
      </c>
      <c r="B131" s="24" t="s">
        <v>85</v>
      </c>
      <c r="C131" s="16">
        <v>2718</v>
      </c>
      <c r="D131" s="16">
        <v>1982</v>
      </c>
      <c r="E131" s="13">
        <v>72.900000000000006</v>
      </c>
    </row>
    <row r="132" spans="1:5" ht="15" customHeight="1" x14ac:dyDescent="0.3">
      <c r="A132" s="10" t="s">
        <v>55</v>
      </c>
      <c r="B132" s="23" t="s">
        <v>81</v>
      </c>
      <c r="C132" s="11">
        <v>62291</v>
      </c>
      <c r="D132" s="11">
        <v>59780</v>
      </c>
      <c r="E132" s="13">
        <v>96</v>
      </c>
    </row>
    <row r="133" spans="1:5" ht="15" customHeight="1" x14ac:dyDescent="0.3">
      <c r="A133" s="15" t="s">
        <v>55</v>
      </c>
      <c r="B133" s="24" t="s">
        <v>82</v>
      </c>
      <c r="C133" s="16">
        <v>62291</v>
      </c>
      <c r="D133" s="16">
        <v>52506</v>
      </c>
      <c r="E133" s="13">
        <v>84.3</v>
      </c>
    </row>
    <row r="134" spans="1:5" ht="15" customHeight="1" x14ac:dyDescent="0.3">
      <c r="A134" s="10" t="s">
        <v>55</v>
      </c>
      <c r="B134" s="23" t="s">
        <v>83</v>
      </c>
      <c r="C134" s="11">
        <v>62291</v>
      </c>
      <c r="D134" s="11">
        <v>3865</v>
      </c>
      <c r="E134" s="13">
        <v>6.2</v>
      </c>
    </row>
    <row r="135" spans="1:5" ht="15" customHeight="1" x14ac:dyDescent="0.3">
      <c r="A135" s="15" t="s">
        <v>55</v>
      </c>
      <c r="B135" s="24" t="s">
        <v>84</v>
      </c>
      <c r="C135" s="16">
        <v>62291</v>
      </c>
      <c r="D135" s="16">
        <v>61566</v>
      </c>
      <c r="E135" s="13">
        <v>98.8</v>
      </c>
    </row>
    <row r="136" spans="1:5" ht="15" customHeight="1" x14ac:dyDescent="0.3">
      <c r="A136" s="10" t="s">
        <v>55</v>
      </c>
      <c r="B136" s="23" t="s">
        <v>85</v>
      </c>
      <c r="C136" s="11">
        <v>62291</v>
      </c>
      <c r="D136" s="11">
        <v>39842</v>
      </c>
      <c r="E136" s="13">
        <v>64</v>
      </c>
    </row>
    <row r="137" spans="1:5" ht="15" customHeight="1" x14ac:dyDescent="0.3">
      <c r="A137" s="15" t="s">
        <v>56</v>
      </c>
      <c r="B137" s="24" t="s">
        <v>81</v>
      </c>
      <c r="C137" s="16">
        <v>736</v>
      </c>
      <c r="D137" s="16">
        <v>710</v>
      </c>
      <c r="E137" s="13">
        <v>96.5</v>
      </c>
    </row>
    <row r="138" spans="1:5" ht="15" customHeight="1" x14ac:dyDescent="0.3">
      <c r="A138" s="10" t="s">
        <v>56</v>
      </c>
      <c r="B138" s="23" t="s">
        <v>82</v>
      </c>
      <c r="C138" s="11">
        <v>736</v>
      </c>
      <c r="D138" s="11">
        <v>736</v>
      </c>
      <c r="E138" s="13">
        <v>100</v>
      </c>
    </row>
    <row r="139" spans="1:5" ht="15" customHeight="1" x14ac:dyDescent="0.3">
      <c r="A139" s="15" t="s">
        <v>56</v>
      </c>
      <c r="B139" s="24" t="s">
        <v>83</v>
      </c>
      <c r="C139" s="16">
        <v>736</v>
      </c>
      <c r="D139" s="16">
        <v>415</v>
      </c>
      <c r="E139" s="13">
        <v>56.4</v>
      </c>
    </row>
    <row r="140" spans="1:5" ht="15" customHeight="1" x14ac:dyDescent="0.3">
      <c r="A140" s="10" t="s">
        <v>56</v>
      </c>
      <c r="B140" s="23" t="s">
        <v>84</v>
      </c>
      <c r="C140" s="11">
        <v>736</v>
      </c>
      <c r="D140" s="11">
        <v>736</v>
      </c>
      <c r="E140" s="13">
        <v>100</v>
      </c>
    </row>
    <row r="141" spans="1:5" ht="15" customHeight="1" x14ac:dyDescent="0.3">
      <c r="A141" s="15" t="s">
        <v>56</v>
      </c>
      <c r="B141" s="24" t="s">
        <v>85</v>
      </c>
      <c r="C141" s="16">
        <v>736</v>
      </c>
      <c r="D141" s="16">
        <v>676</v>
      </c>
      <c r="E141" s="13">
        <v>91.8</v>
      </c>
    </row>
    <row r="142" spans="1:5" ht="15" customHeight="1" x14ac:dyDescent="0.3">
      <c r="A142" s="10" t="s">
        <v>57</v>
      </c>
      <c r="B142" s="23" t="s">
        <v>81</v>
      </c>
      <c r="C142" s="11">
        <v>27701</v>
      </c>
      <c r="D142" s="11">
        <v>27386</v>
      </c>
      <c r="E142" s="13">
        <v>98.9</v>
      </c>
    </row>
    <row r="143" spans="1:5" ht="15" customHeight="1" x14ac:dyDescent="0.3">
      <c r="A143" s="15" t="s">
        <v>57</v>
      </c>
      <c r="B143" s="24" t="s">
        <v>82</v>
      </c>
      <c r="C143" s="16">
        <v>27701</v>
      </c>
      <c r="D143" s="16">
        <v>27698</v>
      </c>
      <c r="E143" s="13">
        <v>100</v>
      </c>
    </row>
    <row r="144" spans="1:5" ht="15" customHeight="1" x14ac:dyDescent="0.3">
      <c r="A144" s="10" t="s">
        <v>57</v>
      </c>
      <c r="B144" s="23" t="s">
        <v>83</v>
      </c>
      <c r="C144" s="11">
        <v>27701</v>
      </c>
      <c r="D144" s="11">
        <v>13146</v>
      </c>
      <c r="E144" s="13">
        <v>47.5</v>
      </c>
    </row>
    <row r="145" spans="1:5" ht="15" customHeight="1" x14ac:dyDescent="0.3">
      <c r="A145" s="15" t="s">
        <v>57</v>
      </c>
      <c r="B145" s="24" t="s">
        <v>84</v>
      </c>
      <c r="C145" s="16">
        <v>27701</v>
      </c>
      <c r="D145" s="16">
        <v>27699</v>
      </c>
      <c r="E145" s="13">
        <v>100</v>
      </c>
    </row>
    <row r="146" spans="1:5" ht="15" customHeight="1" x14ac:dyDescent="0.3">
      <c r="A146" s="10" t="s">
        <v>57</v>
      </c>
      <c r="B146" s="23" t="s">
        <v>85</v>
      </c>
      <c r="C146" s="11">
        <v>27701</v>
      </c>
      <c r="D146" s="11">
        <v>27020</v>
      </c>
      <c r="E146" s="13">
        <v>97.5</v>
      </c>
    </row>
    <row r="147" spans="1:5" ht="15" customHeight="1" x14ac:dyDescent="0.3">
      <c r="A147" s="15" t="s">
        <v>58</v>
      </c>
      <c r="B147" s="24" t="s">
        <v>81</v>
      </c>
      <c r="C147" s="16">
        <v>106373</v>
      </c>
      <c r="D147" s="16">
        <v>104198</v>
      </c>
      <c r="E147" s="13">
        <v>98</v>
      </c>
    </row>
    <row r="148" spans="1:5" ht="15" customHeight="1" x14ac:dyDescent="0.3">
      <c r="A148" s="10" t="s">
        <v>58</v>
      </c>
      <c r="B148" s="23" t="s">
        <v>82</v>
      </c>
      <c r="C148" s="11">
        <v>106373</v>
      </c>
      <c r="D148" s="11">
        <v>93298</v>
      </c>
      <c r="E148" s="13">
        <v>87.7</v>
      </c>
    </row>
    <row r="149" spans="1:5" ht="15" customHeight="1" x14ac:dyDescent="0.3">
      <c r="A149" s="15" t="s">
        <v>58</v>
      </c>
      <c r="B149" s="24" t="s">
        <v>83</v>
      </c>
      <c r="C149" s="16">
        <v>106373</v>
      </c>
      <c r="D149" s="16">
        <v>10595</v>
      </c>
      <c r="E149" s="13">
        <v>10</v>
      </c>
    </row>
    <row r="150" spans="1:5" ht="15" customHeight="1" x14ac:dyDescent="0.3">
      <c r="A150" s="10" t="s">
        <v>58</v>
      </c>
      <c r="B150" s="23" t="s">
        <v>84</v>
      </c>
      <c r="C150" s="11">
        <v>106373</v>
      </c>
      <c r="D150" s="11">
        <v>104188</v>
      </c>
      <c r="E150" s="13">
        <v>97.9</v>
      </c>
    </row>
    <row r="151" spans="1:5" ht="15" customHeight="1" x14ac:dyDescent="0.3">
      <c r="A151" s="15" t="s">
        <v>58</v>
      </c>
      <c r="B151" s="24" t="s">
        <v>85</v>
      </c>
      <c r="C151" s="16">
        <v>106373</v>
      </c>
      <c r="D151" s="16">
        <v>85472</v>
      </c>
      <c r="E151" s="13">
        <v>80.400000000000006</v>
      </c>
    </row>
    <row r="152" spans="1:5" ht="15" customHeight="1" x14ac:dyDescent="0.3">
      <c r="A152" s="10" t="s">
        <v>60</v>
      </c>
      <c r="B152" s="23" t="s">
        <v>81</v>
      </c>
      <c r="C152" s="11">
        <v>1259</v>
      </c>
      <c r="D152" s="11">
        <v>1164</v>
      </c>
      <c r="E152" s="13">
        <v>92.5</v>
      </c>
    </row>
    <row r="153" spans="1:5" ht="15" customHeight="1" x14ac:dyDescent="0.3">
      <c r="A153" s="15" t="s">
        <v>60</v>
      </c>
      <c r="B153" s="24" t="s">
        <v>82</v>
      </c>
      <c r="C153" s="16">
        <v>1259</v>
      </c>
      <c r="D153" s="16">
        <v>1254</v>
      </c>
      <c r="E153" s="13">
        <v>99.6</v>
      </c>
    </row>
    <row r="154" spans="1:5" ht="15" customHeight="1" x14ac:dyDescent="0.3">
      <c r="A154" s="10" t="s">
        <v>60</v>
      </c>
      <c r="B154" s="23" t="s">
        <v>83</v>
      </c>
      <c r="C154" s="11">
        <v>1259</v>
      </c>
      <c r="D154" s="11">
        <v>405</v>
      </c>
      <c r="E154" s="13">
        <v>32.200000000000003</v>
      </c>
    </row>
    <row r="155" spans="1:5" ht="15" customHeight="1" x14ac:dyDescent="0.3">
      <c r="A155" s="15" t="s">
        <v>60</v>
      </c>
      <c r="B155" s="24" t="s">
        <v>84</v>
      </c>
      <c r="C155" s="16">
        <v>1259</v>
      </c>
      <c r="D155" s="16">
        <v>1253</v>
      </c>
      <c r="E155" s="13">
        <v>99.5</v>
      </c>
    </row>
    <row r="156" spans="1:5" ht="15" customHeight="1" x14ac:dyDescent="0.3">
      <c r="A156" s="10" t="s">
        <v>60</v>
      </c>
      <c r="B156" s="23" t="s">
        <v>85</v>
      </c>
      <c r="C156" s="11">
        <v>1259</v>
      </c>
      <c r="D156" s="11">
        <v>1078</v>
      </c>
      <c r="E156" s="13">
        <v>85.6</v>
      </c>
    </row>
    <row r="157" spans="1:5" ht="15" customHeight="1" x14ac:dyDescent="0.3">
      <c r="A157" s="15" t="s">
        <v>61</v>
      </c>
      <c r="B157" s="24" t="s">
        <v>81</v>
      </c>
      <c r="C157" s="16">
        <v>58801</v>
      </c>
      <c r="D157" s="16">
        <v>58130</v>
      </c>
      <c r="E157" s="13">
        <v>98.9</v>
      </c>
    </row>
    <row r="158" spans="1:5" ht="15" customHeight="1" x14ac:dyDescent="0.3">
      <c r="A158" s="10" t="s">
        <v>61</v>
      </c>
      <c r="B158" s="23" t="s">
        <v>82</v>
      </c>
      <c r="C158" s="11">
        <v>58801</v>
      </c>
      <c r="D158" s="11">
        <v>58801</v>
      </c>
      <c r="E158" s="13">
        <v>100</v>
      </c>
    </row>
    <row r="159" spans="1:5" ht="15" customHeight="1" x14ac:dyDescent="0.3">
      <c r="A159" s="15" t="s">
        <v>61</v>
      </c>
      <c r="B159" s="24" t="s">
        <v>83</v>
      </c>
      <c r="C159" s="16">
        <v>58801</v>
      </c>
      <c r="D159" s="16">
        <v>5815</v>
      </c>
      <c r="E159" s="13">
        <v>9.9</v>
      </c>
    </row>
    <row r="160" spans="1:5" ht="15" customHeight="1" x14ac:dyDescent="0.3">
      <c r="A160" s="10" t="s">
        <v>61</v>
      </c>
      <c r="B160" s="23" t="s">
        <v>84</v>
      </c>
      <c r="C160" s="11">
        <v>58801</v>
      </c>
      <c r="D160" s="11">
        <v>58801</v>
      </c>
      <c r="E160" s="13">
        <v>100</v>
      </c>
    </row>
    <row r="161" spans="1:5" ht="15" customHeight="1" x14ac:dyDescent="0.3">
      <c r="A161" s="15" t="s">
        <v>61</v>
      </c>
      <c r="B161" s="24" t="s">
        <v>85</v>
      </c>
      <c r="C161" s="16">
        <v>58801</v>
      </c>
      <c r="D161" s="16">
        <v>51029</v>
      </c>
      <c r="E161" s="13">
        <v>86.8</v>
      </c>
    </row>
    <row r="162" spans="1:5" ht="15" customHeight="1" x14ac:dyDescent="0.3">
      <c r="A162" s="10" t="s">
        <v>62</v>
      </c>
      <c r="B162" s="23" t="s">
        <v>81</v>
      </c>
      <c r="C162" s="11">
        <v>43083</v>
      </c>
      <c r="D162" s="11">
        <v>38802</v>
      </c>
      <c r="E162" s="13">
        <v>90.1</v>
      </c>
    </row>
    <row r="163" spans="1:5" ht="15" customHeight="1" x14ac:dyDescent="0.3">
      <c r="A163" s="15" t="s">
        <v>62</v>
      </c>
      <c r="B163" s="24" t="s">
        <v>82</v>
      </c>
      <c r="C163" s="16">
        <v>43083</v>
      </c>
      <c r="D163" s="16">
        <v>40437</v>
      </c>
      <c r="E163" s="13">
        <v>93.9</v>
      </c>
    </row>
    <row r="164" spans="1:5" ht="15" customHeight="1" x14ac:dyDescent="0.3">
      <c r="A164" s="10" t="s">
        <v>62</v>
      </c>
      <c r="B164" s="23" t="s">
        <v>83</v>
      </c>
      <c r="C164" s="11">
        <v>43083</v>
      </c>
      <c r="D164" s="11">
        <v>1774</v>
      </c>
      <c r="E164" s="13">
        <v>4.0999999999999996</v>
      </c>
    </row>
    <row r="165" spans="1:5" ht="15" customHeight="1" x14ac:dyDescent="0.3">
      <c r="A165" s="15" t="s">
        <v>62</v>
      </c>
      <c r="B165" s="24" t="s">
        <v>84</v>
      </c>
      <c r="C165" s="16">
        <v>43083</v>
      </c>
      <c r="D165" s="16">
        <v>41105</v>
      </c>
      <c r="E165" s="13">
        <v>95.4</v>
      </c>
    </row>
    <row r="166" spans="1:5" ht="15" customHeight="1" x14ac:dyDescent="0.3">
      <c r="A166" s="10" t="s">
        <v>62</v>
      </c>
      <c r="B166" s="23" t="s">
        <v>85</v>
      </c>
      <c r="C166" s="11">
        <v>43083</v>
      </c>
      <c r="D166" s="11">
        <v>31716</v>
      </c>
      <c r="E166" s="13">
        <v>73.599999999999994</v>
      </c>
    </row>
    <row r="167" spans="1:5" ht="15" customHeight="1" x14ac:dyDescent="0.3">
      <c r="A167" s="15" t="s">
        <v>63</v>
      </c>
      <c r="B167" s="24" t="s">
        <v>81</v>
      </c>
      <c r="C167" s="16">
        <v>4929</v>
      </c>
      <c r="D167" s="16">
        <v>4410</v>
      </c>
      <c r="E167" s="13">
        <v>89.5</v>
      </c>
    </row>
    <row r="168" spans="1:5" ht="15" customHeight="1" x14ac:dyDescent="0.3">
      <c r="A168" s="10" t="s">
        <v>63</v>
      </c>
      <c r="B168" s="23" t="s">
        <v>82</v>
      </c>
      <c r="C168" s="11">
        <v>4929</v>
      </c>
      <c r="D168" s="11">
        <v>2826</v>
      </c>
      <c r="E168" s="13">
        <v>57.3</v>
      </c>
    </row>
    <row r="169" spans="1:5" ht="15" customHeight="1" x14ac:dyDescent="0.3">
      <c r="A169" s="15" t="s">
        <v>63</v>
      </c>
      <c r="B169" s="24" t="s">
        <v>83</v>
      </c>
      <c r="C169" s="16">
        <v>4929</v>
      </c>
      <c r="D169" s="16">
        <v>474</v>
      </c>
      <c r="E169" s="13">
        <v>9.6</v>
      </c>
    </row>
    <row r="170" spans="1:5" ht="15" customHeight="1" x14ac:dyDescent="0.3">
      <c r="A170" s="10" t="s">
        <v>63</v>
      </c>
      <c r="B170" s="23" t="s">
        <v>84</v>
      </c>
      <c r="C170" s="11">
        <v>4929</v>
      </c>
      <c r="D170" s="11">
        <v>4137</v>
      </c>
      <c r="E170" s="13">
        <v>83.9</v>
      </c>
    </row>
    <row r="171" spans="1:5" ht="15" customHeight="1" x14ac:dyDescent="0.3">
      <c r="A171" s="15" t="s">
        <v>63</v>
      </c>
      <c r="B171" s="24" t="s">
        <v>85</v>
      </c>
      <c r="C171" s="16">
        <v>4929</v>
      </c>
      <c r="D171" s="16">
        <v>3844</v>
      </c>
      <c r="E171" s="13">
        <v>78</v>
      </c>
    </row>
    <row r="172" spans="1:5" ht="15" customHeight="1" x14ac:dyDescent="0.3">
      <c r="A172" s="10" t="s">
        <v>64</v>
      </c>
      <c r="B172" s="23" t="s">
        <v>81</v>
      </c>
      <c r="C172" s="11">
        <v>258054</v>
      </c>
      <c r="D172" s="11">
        <v>253889</v>
      </c>
      <c r="E172" s="13">
        <v>98.4</v>
      </c>
    </row>
    <row r="173" spans="1:5" ht="15" customHeight="1" x14ac:dyDescent="0.3">
      <c r="A173" s="15" t="s">
        <v>64</v>
      </c>
      <c r="B173" s="24" t="s">
        <v>82</v>
      </c>
      <c r="C173" s="16">
        <v>258054</v>
      </c>
      <c r="D173" s="16">
        <v>218099</v>
      </c>
      <c r="E173" s="13">
        <v>84.5</v>
      </c>
    </row>
    <row r="174" spans="1:5" ht="15" customHeight="1" x14ac:dyDescent="0.3">
      <c r="A174" s="10" t="s">
        <v>64</v>
      </c>
      <c r="B174" s="23" t="s">
        <v>83</v>
      </c>
      <c r="C174" s="11">
        <v>258054</v>
      </c>
      <c r="D174" s="11">
        <v>8270</v>
      </c>
      <c r="E174" s="13">
        <v>3.2</v>
      </c>
    </row>
    <row r="175" spans="1:5" ht="15" customHeight="1" x14ac:dyDescent="0.3">
      <c r="A175" s="15" t="s">
        <v>64</v>
      </c>
      <c r="B175" s="24" t="s">
        <v>84</v>
      </c>
      <c r="C175" s="16">
        <v>258054</v>
      </c>
      <c r="D175" s="16">
        <v>255731</v>
      </c>
      <c r="E175" s="13">
        <v>99.1</v>
      </c>
    </row>
    <row r="176" spans="1:5" ht="15" customHeight="1" x14ac:dyDescent="0.3">
      <c r="A176" s="10" t="s">
        <v>64</v>
      </c>
      <c r="B176" s="23" t="s">
        <v>85</v>
      </c>
      <c r="C176" s="11">
        <v>258054</v>
      </c>
      <c r="D176" s="11">
        <v>196552</v>
      </c>
      <c r="E176" s="13">
        <v>76.2</v>
      </c>
    </row>
    <row r="177" spans="1:5" ht="15" customHeight="1" x14ac:dyDescent="0.3">
      <c r="A177" s="15" t="s">
        <v>65</v>
      </c>
      <c r="B177" s="24" t="s">
        <v>81</v>
      </c>
      <c r="C177" s="16">
        <v>22815</v>
      </c>
      <c r="D177" s="16">
        <v>21703</v>
      </c>
      <c r="E177" s="13">
        <v>95.1</v>
      </c>
    </row>
    <row r="178" spans="1:5" ht="15" customHeight="1" x14ac:dyDescent="0.3">
      <c r="A178" s="10" t="s">
        <v>65</v>
      </c>
      <c r="B178" s="23" t="s">
        <v>82</v>
      </c>
      <c r="C178" s="11">
        <v>22815</v>
      </c>
      <c r="D178" s="11">
        <v>20890</v>
      </c>
      <c r="E178" s="13">
        <v>91.6</v>
      </c>
    </row>
    <row r="179" spans="1:5" ht="15" customHeight="1" x14ac:dyDescent="0.3">
      <c r="A179" s="15" t="s">
        <v>65</v>
      </c>
      <c r="B179" s="24" t="s">
        <v>83</v>
      </c>
      <c r="C179" s="16">
        <v>22815</v>
      </c>
      <c r="D179" s="16">
        <v>3541</v>
      </c>
      <c r="E179" s="13">
        <v>15.5</v>
      </c>
    </row>
    <row r="180" spans="1:5" ht="15" customHeight="1" x14ac:dyDescent="0.3">
      <c r="A180" s="10" t="s">
        <v>65</v>
      </c>
      <c r="B180" s="23" t="s">
        <v>84</v>
      </c>
      <c r="C180" s="11">
        <v>22815</v>
      </c>
      <c r="D180" s="11">
        <v>22118</v>
      </c>
      <c r="E180" s="13">
        <v>96.9</v>
      </c>
    </row>
    <row r="181" spans="1:5" ht="15" customHeight="1" x14ac:dyDescent="0.3">
      <c r="A181" s="15" t="s">
        <v>65</v>
      </c>
      <c r="B181" s="24" t="s">
        <v>85</v>
      </c>
      <c r="C181" s="16">
        <v>22815</v>
      </c>
      <c r="D181" s="16">
        <v>17728</v>
      </c>
      <c r="E181" s="13">
        <v>77.7</v>
      </c>
    </row>
    <row r="182" spans="1:5" ht="15" customHeight="1" x14ac:dyDescent="0.3">
      <c r="A182" s="10" t="s">
        <v>66</v>
      </c>
      <c r="B182" s="23" t="s">
        <v>81</v>
      </c>
      <c r="C182" s="11">
        <v>94744</v>
      </c>
      <c r="D182" s="11">
        <v>93624</v>
      </c>
      <c r="E182" s="13">
        <v>98.8</v>
      </c>
    </row>
    <row r="183" spans="1:5" ht="15" customHeight="1" x14ac:dyDescent="0.3">
      <c r="A183" s="15" t="s">
        <v>66</v>
      </c>
      <c r="B183" s="24" t="s">
        <v>82</v>
      </c>
      <c r="C183" s="16">
        <v>94744</v>
      </c>
      <c r="D183" s="16">
        <v>92182</v>
      </c>
      <c r="E183" s="13">
        <v>97.3</v>
      </c>
    </row>
    <row r="184" spans="1:5" ht="15" customHeight="1" x14ac:dyDescent="0.3">
      <c r="A184" s="10" t="s">
        <v>66</v>
      </c>
      <c r="B184" s="23" t="s">
        <v>83</v>
      </c>
      <c r="C184" s="11">
        <v>94744</v>
      </c>
      <c r="D184" s="11">
        <v>8120</v>
      </c>
      <c r="E184" s="13">
        <v>8.6</v>
      </c>
    </row>
    <row r="185" spans="1:5" ht="15" customHeight="1" x14ac:dyDescent="0.3">
      <c r="A185" s="15" t="s">
        <v>66</v>
      </c>
      <c r="B185" s="24" t="s">
        <v>84</v>
      </c>
      <c r="C185" s="16">
        <v>94744</v>
      </c>
      <c r="D185" s="16">
        <v>94261</v>
      </c>
      <c r="E185" s="13">
        <v>99.5</v>
      </c>
    </row>
    <row r="186" spans="1:5" ht="15" customHeight="1" x14ac:dyDescent="0.3">
      <c r="A186" s="10" t="s">
        <v>66</v>
      </c>
      <c r="B186" s="23" t="s">
        <v>85</v>
      </c>
      <c r="C186" s="11">
        <v>94744</v>
      </c>
      <c r="D186" s="11">
        <v>62567</v>
      </c>
      <c r="E186" s="13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Dashboard Sheet</vt:lpstr>
      <vt:lpstr>Raw NAS</vt:lpstr>
      <vt:lpstr>Raw UDISE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Raj</cp:lastModifiedBy>
  <dcterms:created xsi:type="dcterms:W3CDTF">2026-05-04T20:47:59Z</dcterms:created>
  <dcterms:modified xsi:type="dcterms:W3CDTF">2026-05-05T08:05:27Z</dcterms:modified>
</cp:coreProperties>
</file>